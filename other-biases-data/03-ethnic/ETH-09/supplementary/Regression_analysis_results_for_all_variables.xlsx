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meserollra\Desktop\diversity manuscript\revision\second submission\"/>
    </mc:Choice>
  </mc:AlternateContent>
  <xr:revisionPtr revIDLastSave="0" documentId="13_ncr:1_{28DA754C-8A36-4198-A0F5-B8DB65893699}" xr6:coauthVersionLast="34" xr6:coauthVersionMax="34" xr10:uidLastSave="{00000000-0000-0000-0000-000000000000}"/>
  <bookViews>
    <workbookView xWindow="0" yWindow="0" windowWidth="21570" windowHeight="7380" tabRatio="719" xr2:uid="{C9AA469E-2AF3-4656-A794-40518DF0BDF2}"/>
  </bookViews>
  <sheets>
    <sheet name="Awarded overall" sheetId="1" r:id="rId1"/>
    <sheet name="Discussed" sheetId="2" r:id="rId2"/>
    <sheet name="Awarded given discussed" sheetId="3" r:id="rId3"/>
    <sheet name="Number of applications" sheetId="4" r:id="rId4"/>
    <sheet name="Resubmission" sheetId="6" r:id="rId5"/>
    <sheet name="Resubmission-percentile control" sheetId="8" r:id="rId6"/>
  </sheet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1" l="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D54" i="8" l="1"/>
  <c r="C54" i="8"/>
  <c r="B54" i="8"/>
  <c r="A54" i="8"/>
  <c r="D53" i="8"/>
  <c r="C53" i="8"/>
  <c r="B53" i="8"/>
  <c r="A53" i="8"/>
  <c r="D52" i="8"/>
  <c r="C52" i="8"/>
  <c r="B52" i="8"/>
  <c r="D51" i="8"/>
  <c r="C51" i="8"/>
  <c r="B51" i="8"/>
  <c r="A51" i="8"/>
  <c r="D50" i="8"/>
  <c r="C50" i="8"/>
  <c r="B50" i="8"/>
  <c r="D49" i="8"/>
  <c r="C49" i="8"/>
  <c r="B49" i="8"/>
  <c r="A49" i="8"/>
  <c r="D48" i="8"/>
  <c r="C48" i="8"/>
  <c r="B48" i="8"/>
  <c r="D47" i="8"/>
  <c r="C47" i="8"/>
  <c r="B47" i="8"/>
  <c r="A47" i="8"/>
  <c r="D46" i="8"/>
  <c r="C46" i="8"/>
  <c r="B46" i="8"/>
  <c r="D45" i="8"/>
  <c r="C45" i="8"/>
  <c r="B45" i="8"/>
  <c r="A45" i="8"/>
  <c r="D44" i="8"/>
  <c r="C44" i="8"/>
  <c r="B44" i="8"/>
  <c r="D43" i="8"/>
  <c r="C43" i="8"/>
  <c r="B43" i="8"/>
  <c r="A43" i="8"/>
  <c r="D42" i="8"/>
  <c r="C42" i="8"/>
  <c r="B42" i="8"/>
  <c r="D41" i="8"/>
  <c r="C41" i="8"/>
  <c r="B41" i="8"/>
  <c r="A41" i="8"/>
  <c r="D40" i="8"/>
  <c r="C40" i="8"/>
  <c r="B40" i="8"/>
  <c r="D39" i="8"/>
  <c r="C39" i="8"/>
  <c r="B39" i="8"/>
  <c r="A39" i="8"/>
  <c r="D38" i="8"/>
  <c r="C38" i="8"/>
  <c r="B38" i="8"/>
  <c r="D37" i="8"/>
  <c r="C37" i="8"/>
  <c r="B37" i="8"/>
  <c r="A37" i="8"/>
  <c r="D36" i="8"/>
  <c r="C36" i="8"/>
  <c r="B36" i="8"/>
  <c r="D35" i="8"/>
  <c r="C35" i="8"/>
  <c r="B35" i="8"/>
  <c r="D34" i="8"/>
  <c r="C34" i="8"/>
  <c r="B34" i="8"/>
  <c r="D33" i="8"/>
  <c r="C33" i="8"/>
  <c r="B33" i="8"/>
  <c r="D32" i="8"/>
  <c r="C32" i="8"/>
  <c r="B32" i="8"/>
  <c r="D31" i="8"/>
  <c r="C31" i="8"/>
  <c r="B31" i="8"/>
  <c r="D30" i="8"/>
  <c r="C30" i="8"/>
  <c r="B30" i="8"/>
  <c r="D29" i="8"/>
  <c r="C29" i="8"/>
  <c r="B29" i="8"/>
  <c r="A29" i="8"/>
  <c r="D28" i="8"/>
  <c r="C28" i="8"/>
  <c r="B28" i="8"/>
  <c r="D27" i="8"/>
  <c r="C27" i="8"/>
  <c r="B27" i="8"/>
  <c r="A27" i="8"/>
  <c r="D26" i="8"/>
  <c r="C26" i="8"/>
  <c r="B26" i="8"/>
  <c r="D25" i="8"/>
  <c r="C25" i="8"/>
  <c r="B25" i="8"/>
  <c r="A25" i="8"/>
  <c r="D24" i="8"/>
  <c r="C24" i="8"/>
  <c r="B24" i="8"/>
  <c r="D23" i="8"/>
  <c r="C23" i="8"/>
  <c r="B23" i="8"/>
  <c r="A23" i="8"/>
  <c r="D22" i="8"/>
  <c r="C22" i="8"/>
  <c r="B22" i="8"/>
  <c r="D21" i="8"/>
  <c r="C21" i="8"/>
  <c r="B21" i="8"/>
  <c r="A21" i="8"/>
  <c r="D20" i="8"/>
  <c r="C20" i="8"/>
  <c r="B20" i="8"/>
  <c r="D19" i="8"/>
  <c r="C19" i="8"/>
  <c r="B19" i="8"/>
  <c r="A19" i="8"/>
  <c r="D18" i="8"/>
  <c r="C18" i="8"/>
  <c r="B18" i="8"/>
  <c r="D17" i="8"/>
  <c r="C17" i="8"/>
  <c r="B17" i="8"/>
  <c r="A17" i="8"/>
  <c r="D16" i="8"/>
  <c r="C16" i="8"/>
  <c r="B16" i="8"/>
  <c r="D15" i="8"/>
  <c r="C15" i="8"/>
  <c r="B15" i="8"/>
  <c r="A15" i="8"/>
  <c r="D14" i="8"/>
  <c r="C14" i="8"/>
  <c r="B14" i="8"/>
  <c r="D13" i="8"/>
  <c r="C13" i="8"/>
  <c r="B13" i="8"/>
  <c r="D12" i="8"/>
  <c r="C12" i="8"/>
  <c r="B12" i="8"/>
  <c r="D11" i="8"/>
  <c r="C11" i="8"/>
  <c r="B11" i="8"/>
  <c r="D10" i="8"/>
  <c r="C10" i="8"/>
  <c r="B10" i="8"/>
  <c r="D9" i="8"/>
  <c r="C9" i="8"/>
  <c r="B9" i="8"/>
  <c r="D8" i="8"/>
  <c r="C8" i="8"/>
  <c r="B8" i="8"/>
  <c r="D7" i="8"/>
  <c r="C7" i="8"/>
  <c r="B7" i="8"/>
  <c r="D6" i="8"/>
  <c r="C6" i="8"/>
  <c r="B6" i="8"/>
  <c r="D5" i="8"/>
  <c r="C5" i="8"/>
  <c r="B5" i="8"/>
  <c r="A5" i="8"/>
  <c r="D4" i="8"/>
  <c r="C4" i="8"/>
  <c r="B4" i="8"/>
  <c r="A2" i="8"/>
  <c r="A49" i="6"/>
  <c r="A45" i="6"/>
  <c r="A43" i="6"/>
  <c r="A41" i="6"/>
  <c r="A39" i="6"/>
  <c r="A37" i="6"/>
  <c r="B4" i="4"/>
  <c r="C4" i="4"/>
  <c r="B5" i="4"/>
  <c r="C5" i="4"/>
  <c r="B6" i="4"/>
  <c r="C6" i="4"/>
  <c r="B7" i="4"/>
  <c r="C7" i="4"/>
  <c r="B8" i="4"/>
  <c r="C8" i="4"/>
  <c r="B9" i="4"/>
  <c r="C9" i="4"/>
  <c r="B10" i="4"/>
  <c r="C10" i="4"/>
  <c r="B11" i="4"/>
  <c r="C11" i="4"/>
  <c r="B12" i="4"/>
  <c r="C12" i="4"/>
  <c r="B13" i="4"/>
  <c r="C13" i="4"/>
  <c r="B14" i="4"/>
  <c r="C14" i="4"/>
  <c r="B15" i="4"/>
  <c r="C15" i="4"/>
  <c r="B16" i="4"/>
  <c r="C16" i="4"/>
  <c r="B17" i="4"/>
  <c r="C17" i="4"/>
  <c r="B18" i="4"/>
  <c r="C18" i="4"/>
  <c r="B19" i="4"/>
  <c r="C19" i="4"/>
  <c r="B20" i="4"/>
  <c r="C20" i="4"/>
  <c r="B21" i="4"/>
  <c r="C21" i="4"/>
  <c r="B22" i="4"/>
  <c r="C22" i="4"/>
  <c r="B23" i="4"/>
  <c r="C23" i="4"/>
  <c r="B24" i="4"/>
  <c r="C24" i="4"/>
  <c r="B25" i="4"/>
  <c r="C25" i="4"/>
  <c r="B26" i="4"/>
  <c r="C26" i="4"/>
  <c r="B27" i="4"/>
  <c r="C27" i="4"/>
  <c r="B28" i="4"/>
  <c r="C28" i="4"/>
  <c r="B29" i="4"/>
  <c r="C29" i="4"/>
  <c r="B30" i="4"/>
  <c r="C30" i="4"/>
  <c r="B31" i="4"/>
  <c r="C31" i="4"/>
  <c r="B32" i="4"/>
  <c r="C32" i="4"/>
  <c r="B33" i="4"/>
  <c r="C33" i="4"/>
  <c r="B34" i="4"/>
  <c r="C34" i="4"/>
  <c r="B35" i="4"/>
  <c r="C35" i="4"/>
  <c r="B36" i="4"/>
  <c r="C36" i="4"/>
  <c r="B37" i="4"/>
  <c r="C37" i="4"/>
  <c r="B38" i="4"/>
  <c r="C38" i="4"/>
  <c r="B39" i="4"/>
  <c r="C39" i="4"/>
  <c r="B40" i="4"/>
  <c r="C40" i="4"/>
  <c r="B41" i="4"/>
  <c r="C41" i="4"/>
  <c r="B42" i="4"/>
  <c r="C42" i="4"/>
  <c r="B43" i="4"/>
  <c r="C43" i="4"/>
  <c r="B44" i="4"/>
  <c r="C44" i="4"/>
  <c r="B45" i="4"/>
  <c r="C45" i="4"/>
  <c r="B46" i="4"/>
  <c r="C46" i="4"/>
  <c r="B47" i="4"/>
  <c r="C47" i="4"/>
  <c r="B48" i="4"/>
  <c r="C48" i="4"/>
  <c r="B49" i="4"/>
  <c r="C49" i="4"/>
  <c r="B50" i="4"/>
  <c r="C50" i="4"/>
  <c r="B51" i="4"/>
  <c r="C51" i="4"/>
  <c r="B52" i="4"/>
  <c r="C52" i="4"/>
  <c r="B53" i="4"/>
  <c r="C53" i="4"/>
  <c r="B54" i="4"/>
  <c r="C54" i="4"/>
  <c r="B55" i="4"/>
  <c r="C55" i="4"/>
  <c r="B56" i="4"/>
  <c r="C56" i="4"/>
  <c r="B57" i="4"/>
  <c r="C57" i="4"/>
  <c r="B58" i="4"/>
  <c r="C58" i="4"/>
  <c r="B59" i="4"/>
  <c r="C59" i="4"/>
  <c r="B60" i="4"/>
  <c r="C60" i="4"/>
  <c r="B61" i="4"/>
  <c r="C61" i="4"/>
  <c r="B62" i="4"/>
  <c r="C62" i="4"/>
  <c r="B63" i="4"/>
  <c r="C63" i="4"/>
  <c r="B64" i="4"/>
  <c r="C64" i="4"/>
  <c r="B65" i="4"/>
  <c r="C65" i="4"/>
  <c r="B66" i="4"/>
  <c r="C66" i="4"/>
  <c r="B67" i="4"/>
  <c r="C67" i="4"/>
  <c r="B68" i="4"/>
  <c r="C68" i="4"/>
  <c r="B69" i="4"/>
  <c r="C69" i="4"/>
  <c r="B70" i="4"/>
  <c r="C70" i="4"/>
  <c r="B71" i="4"/>
  <c r="C71" i="4"/>
  <c r="B72" i="4"/>
  <c r="C72" i="4"/>
  <c r="B73" i="4"/>
  <c r="C73" i="4"/>
  <c r="B74" i="4"/>
  <c r="C74" i="4"/>
  <c r="B75" i="4"/>
  <c r="C75" i="4"/>
  <c r="B76" i="4"/>
  <c r="C76" i="4"/>
  <c r="B77" i="4"/>
  <c r="C77" i="4"/>
  <c r="B78" i="4"/>
  <c r="C78" i="4"/>
  <c r="B79" i="4"/>
  <c r="C79" i="4"/>
  <c r="B80" i="4"/>
  <c r="C80" i="4"/>
  <c r="B81" i="4"/>
  <c r="C81" i="4"/>
  <c r="B82" i="4"/>
  <c r="C82" i="4"/>
  <c r="B83" i="4"/>
  <c r="C83" i="4"/>
  <c r="B84" i="4"/>
  <c r="C84" i="4"/>
  <c r="B85" i="4"/>
  <c r="C85" i="4"/>
  <c r="B86" i="4"/>
  <c r="C86" i="4"/>
  <c r="B87" i="4"/>
  <c r="C87" i="4"/>
  <c r="B88" i="4"/>
  <c r="C88" i="4"/>
  <c r="B89" i="4"/>
  <c r="C89" i="4"/>
  <c r="B90" i="4"/>
  <c r="C90" i="4"/>
  <c r="B91" i="4"/>
  <c r="C91" i="4"/>
  <c r="B92" i="4"/>
  <c r="C92" i="4"/>
  <c r="B93" i="4"/>
  <c r="C93" i="4"/>
  <c r="B94" i="4"/>
  <c r="C94" i="4"/>
  <c r="B95" i="4"/>
  <c r="C95" i="4"/>
  <c r="B96" i="4"/>
  <c r="C96" i="4"/>
  <c r="B97" i="4"/>
  <c r="C97" i="4"/>
  <c r="B98" i="4"/>
  <c r="C98" i="4"/>
  <c r="B99" i="4"/>
  <c r="C99" i="4"/>
  <c r="B100" i="4"/>
  <c r="C100" i="4"/>
  <c r="B101" i="4"/>
  <c r="C101" i="4"/>
  <c r="B102" i="4"/>
  <c r="C102" i="4"/>
  <c r="B103" i="4"/>
  <c r="C103" i="4"/>
  <c r="B104" i="4"/>
  <c r="C104" i="4"/>
  <c r="B105" i="4"/>
  <c r="C105" i="4"/>
  <c r="B106" i="4"/>
  <c r="C106" i="4"/>
  <c r="B107" i="4"/>
  <c r="C107" i="4"/>
  <c r="B108" i="4"/>
  <c r="C108" i="4"/>
  <c r="B109" i="4"/>
  <c r="C109" i="4"/>
  <c r="B110" i="4"/>
  <c r="C110" i="4"/>
  <c r="B111" i="4"/>
  <c r="C111" i="4"/>
  <c r="B112" i="4"/>
  <c r="C112" i="4"/>
  <c r="B113" i="4"/>
  <c r="C113" i="4"/>
  <c r="B114" i="4"/>
  <c r="C114" i="4"/>
  <c r="B115" i="4"/>
  <c r="C115" i="4"/>
  <c r="B116" i="4"/>
  <c r="C116" i="4"/>
  <c r="B117" i="4"/>
  <c r="C117" i="4"/>
  <c r="B118" i="4"/>
  <c r="C118" i="4"/>
  <c r="B119" i="4"/>
  <c r="C119" i="4"/>
  <c r="B120" i="4"/>
  <c r="C120" i="4"/>
  <c r="B121" i="4"/>
  <c r="C121" i="4"/>
  <c r="B122" i="4"/>
  <c r="C122" i="4"/>
  <c r="B123" i="4"/>
  <c r="C123" i="4"/>
  <c r="B124" i="4"/>
  <c r="C124" i="4"/>
  <c r="B125" i="4"/>
  <c r="C125" i="4"/>
  <c r="B126" i="4"/>
  <c r="C126" i="4"/>
  <c r="B127" i="4"/>
  <c r="C127" i="4"/>
  <c r="B128" i="4"/>
  <c r="C128" i="4"/>
  <c r="B129" i="4"/>
  <c r="C129" i="4"/>
  <c r="B130" i="4"/>
  <c r="C130" i="4"/>
  <c r="B131" i="4"/>
  <c r="C131" i="4"/>
  <c r="B132" i="4"/>
  <c r="C132" i="4"/>
  <c r="B133" i="4"/>
  <c r="C133" i="4"/>
  <c r="B134" i="4"/>
  <c r="C134" i="4"/>
  <c r="B135" i="4"/>
  <c r="C135" i="4"/>
  <c r="B136" i="4"/>
  <c r="C136" i="4"/>
  <c r="B137" i="4"/>
  <c r="C137" i="4"/>
  <c r="B138" i="4"/>
  <c r="C138" i="4"/>
  <c r="B139" i="4"/>
  <c r="C139" i="4"/>
  <c r="B140" i="4"/>
  <c r="C140" i="4"/>
  <c r="B141" i="4"/>
  <c r="C141" i="4"/>
  <c r="B142" i="4"/>
  <c r="C142" i="4"/>
  <c r="B143" i="4"/>
  <c r="C143" i="4"/>
  <c r="B144" i="4"/>
  <c r="C144" i="4"/>
  <c r="B145" i="4"/>
  <c r="C145" i="4"/>
  <c r="B146" i="4"/>
  <c r="C146" i="4"/>
  <c r="B147" i="4"/>
  <c r="C147" i="4"/>
  <c r="B148" i="4"/>
  <c r="C148" i="4"/>
  <c r="B149" i="4"/>
  <c r="C149" i="4"/>
  <c r="B150" i="4"/>
  <c r="C150" i="4"/>
  <c r="B151" i="4"/>
  <c r="C151" i="4"/>
  <c r="B152" i="4"/>
  <c r="C152" i="4"/>
  <c r="B153" i="4"/>
  <c r="C153" i="4"/>
  <c r="B154" i="4"/>
  <c r="C154" i="4"/>
  <c r="B155" i="4"/>
  <c r="C155" i="4"/>
  <c r="B156" i="4"/>
  <c r="C156" i="4"/>
  <c r="B157" i="4"/>
  <c r="C157" i="4"/>
  <c r="B158" i="4"/>
  <c r="C158" i="4"/>
  <c r="B159" i="4"/>
  <c r="C159" i="4"/>
  <c r="B160" i="4"/>
  <c r="C160" i="4"/>
  <c r="B161" i="4"/>
  <c r="C161" i="4"/>
  <c r="B162" i="4"/>
  <c r="C162" i="4"/>
  <c r="B163" i="4"/>
  <c r="C163" i="4"/>
  <c r="B164" i="4"/>
  <c r="C164" i="4"/>
  <c r="B165" i="4"/>
  <c r="C165" i="4"/>
  <c r="B166" i="4"/>
  <c r="C166" i="4"/>
  <c r="B167" i="4"/>
  <c r="C167" i="4"/>
  <c r="B168" i="4"/>
  <c r="C168" i="4"/>
  <c r="B169" i="4"/>
  <c r="C169" i="4"/>
  <c r="B170" i="4"/>
  <c r="C170" i="4"/>
  <c r="B171" i="4"/>
  <c r="C171" i="4"/>
  <c r="B172" i="4"/>
  <c r="C172" i="4"/>
  <c r="B173" i="4"/>
  <c r="C173" i="4"/>
  <c r="B174" i="4"/>
  <c r="C174" i="4"/>
  <c r="B175" i="4"/>
  <c r="C175" i="4"/>
  <c r="B176" i="4"/>
  <c r="C176" i="4"/>
  <c r="B177" i="4"/>
  <c r="C177" i="4"/>
  <c r="B178" i="4"/>
  <c r="C178" i="4"/>
  <c r="B179" i="4"/>
  <c r="C179" i="4"/>
  <c r="B180" i="4"/>
  <c r="C180" i="4"/>
  <c r="B181" i="4"/>
  <c r="C181" i="4"/>
  <c r="B182" i="4"/>
  <c r="C182" i="4"/>
  <c r="B183" i="4"/>
  <c r="C183" i="4"/>
  <c r="B184" i="4"/>
  <c r="C184" i="4"/>
  <c r="B185" i="4"/>
  <c r="C185" i="4"/>
  <c r="B186" i="4"/>
  <c r="C186" i="4"/>
  <c r="B187" i="4"/>
  <c r="C187" i="4"/>
  <c r="B188" i="4"/>
  <c r="C188" i="4"/>
  <c r="B189" i="4"/>
  <c r="C189" i="4"/>
  <c r="B190" i="4"/>
  <c r="C190" i="4"/>
  <c r="B191" i="4"/>
  <c r="C191" i="4"/>
  <c r="B192" i="4"/>
  <c r="C192" i="4"/>
  <c r="B193" i="4"/>
  <c r="C193" i="4"/>
  <c r="B194" i="4"/>
  <c r="C194" i="4"/>
  <c r="B195" i="4"/>
  <c r="C195" i="4"/>
  <c r="B196" i="4"/>
  <c r="C196" i="4"/>
  <c r="B197" i="4"/>
  <c r="C197" i="4"/>
  <c r="B198" i="4"/>
  <c r="C198" i="4"/>
  <c r="B199" i="4"/>
  <c r="C199" i="4"/>
  <c r="B200" i="4"/>
  <c r="C200" i="4"/>
  <c r="B201" i="4"/>
  <c r="C201" i="4"/>
  <c r="B202" i="4"/>
  <c r="C202" i="4"/>
  <c r="B203" i="4"/>
  <c r="C203" i="4"/>
  <c r="B204" i="4"/>
  <c r="C204" i="4"/>
  <c r="B205" i="4"/>
  <c r="C205" i="4"/>
  <c r="B206" i="4"/>
  <c r="C206" i="4"/>
  <c r="B207" i="4"/>
  <c r="C207" i="4"/>
  <c r="B208" i="4"/>
  <c r="C208" i="4"/>
  <c r="B209" i="4"/>
  <c r="C209" i="4"/>
  <c r="B210" i="4"/>
  <c r="C210" i="4"/>
  <c r="B211" i="4"/>
  <c r="C211" i="4"/>
  <c r="B212" i="4"/>
  <c r="C212" i="4"/>
  <c r="B213" i="4"/>
  <c r="C213" i="4"/>
  <c r="B214" i="4"/>
  <c r="C214" i="4"/>
  <c r="B215" i="4"/>
  <c r="C215" i="4"/>
  <c r="B216" i="4"/>
  <c r="C216" i="4"/>
  <c r="B217" i="4"/>
  <c r="C217" i="4"/>
  <c r="B218" i="4"/>
  <c r="C218" i="4"/>
  <c r="A23" i="6"/>
  <c r="A15" i="6"/>
  <c r="A51" i="3"/>
  <c r="A49" i="3"/>
  <c r="A47" i="3"/>
  <c r="A45" i="3"/>
  <c r="A43" i="3"/>
  <c r="A41" i="3"/>
  <c r="B4" i="3"/>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B28" i="3"/>
  <c r="C28" i="3"/>
  <c r="B29" i="3"/>
  <c r="C29" i="3"/>
  <c r="B30" i="3"/>
  <c r="C30" i="3"/>
  <c r="B31" i="3"/>
  <c r="C31" i="3"/>
  <c r="B32" i="3"/>
  <c r="C32" i="3"/>
  <c r="B33" i="3"/>
  <c r="C33" i="3"/>
  <c r="B34" i="3"/>
  <c r="C34"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A215" i="4"/>
  <c r="A213" i="4"/>
  <c r="A211" i="4"/>
  <c r="A209" i="4"/>
  <c r="A207" i="4"/>
  <c r="A205" i="4"/>
  <c r="A203" i="4"/>
  <c r="A201" i="4"/>
  <c r="A199" i="4"/>
  <c r="A197" i="4"/>
  <c r="A195" i="4"/>
  <c r="A193" i="4"/>
  <c r="A191" i="4"/>
  <c r="A189" i="4"/>
  <c r="A187" i="4"/>
  <c r="A185" i="4"/>
  <c r="A183" i="4"/>
  <c r="A181" i="4"/>
  <c r="A179" i="4"/>
  <c r="A177" i="4"/>
  <c r="A175" i="4"/>
  <c r="A173" i="4"/>
  <c r="A171" i="4"/>
  <c r="A169" i="4"/>
  <c r="A167" i="4"/>
  <c r="A165" i="4"/>
  <c r="A163" i="4"/>
  <c r="A161" i="4"/>
  <c r="A159" i="4"/>
  <c r="A157" i="4"/>
  <c r="A155" i="4"/>
  <c r="A153" i="4"/>
  <c r="A151" i="4"/>
  <c r="A149" i="4"/>
  <c r="A147" i="4"/>
  <c r="A145" i="4"/>
  <c r="A143" i="4"/>
  <c r="A141" i="4"/>
  <c r="A139" i="4"/>
  <c r="A137" i="4"/>
  <c r="A135" i="4"/>
  <c r="A133" i="4"/>
  <c r="A131" i="4"/>
  <c r="A227" i="3"/>
  <c r="A225" i="3"/>
  <c r="A223" i="3"/>
  <c r="A221" i="3"/>
  <c r="A219" i="3"/>
  <c r="A217" i="3"/>
  <c r="A215" i="3"/>
  <c r="A213" i="3"/>
  <c r="A211" i="3"/>
  <c r="A209" i="3"/>
  <c r="A207" i="3"/>
  <c r="A205" i="3"/>
  <c r="A203" i="3"/>
  <c r="A201" i="3"/>
  <c r="A199" i="3"/>
  <c r="A197" i="3"/>
  <c r="A195" i="3"/>
  <c r="A193" i="3"/>
  <c r="A191" i="3"/>
  <c r="A189" i="3"/>
  <c r="A187" i="3"/>
  <c r="A185" i="3"/>
  <c r="A183" i="3"/>
  <c r="A181" i="3"/>
  <c r="A179" i="3"/>
  <c r="A177" i="3"/>
  <c r="A175" i="3"/>
  <c r="A173" i="3"/>
  <c r="A171" i="3"/>
  <c r="A169" i="3"/>
  <c r="A167" i="3"/>
  <c r="A165" i="3"/>
  <c r="A163" i="3"/>
  <c r="A161" i="3"/>
  <c r="A159" i="3"/>
  <c r="A157" i="3"/>
  <c r="A155" i="3"/>
  <c r="A153" i="3"/>
  <c r="A151" i="3"/>
  <c r="A149" i="3"/>
  <c r="A147" i="3"/>
  <c r="A145" i="3"/>
  <c r="A143" i="3"/>
  <c r="A227" i="2"/>
  <c r="A225" i="2"/>
  <c r="A223" i="2"/>
  <c r="A221" i="2"/>
  <c r="A219" i="2"/>
  <c r="A217" i="2"/>
  <c r="A215" i="2"/>
  <c r="A213" i="2"/>
  <c r="A211" i="2"/>
  <c r="A209" i="2"/>
  <c r="A207" i="2"/>
  <c r="A205" i="2"/>
  <c r="A203" i="2"/>
  <c r="A201" i="2"/>
  <c r="A199" i="2"/>
  <c r="A197" i="2"/>
  <c r="A195" i="2"/>
  <c r="A193" i="2"/>
  <c r="A191" i="2"/>
  <c r="A189" i="2"/>
  <c r="A187" i="2"/>
  <c r="A185" i="2"/>
  <c r="A183" i="2"/>
  <c r="A181" i="2"/>
  <c r="A179" i="2"/>
  <c r="A177" i="2"/>
  <c r="A175" i="2"/>
  <c r="A173" i="2"/>
  <c r="A171" i="2"/>
  <c r="A169" i="2"/>
  <c r="A167" i="2"/>
  <c r="A165" i="2"/>
  <c r="A163" i="2"/>
  <c r="A161" i="2"/>
  <c r="A159" i="2"/>
  <c r="A157" i="2"/>
  <c r="A155" i="2"/>
  <c r="A153" i="2"/>
  <c r="A151" i="2"/>
  <c r="A149" i="2"/>
  <c r="A147" i="2"/>
  <c r="A145" i="2"/>
  <c r="A143" i="2"/>
  <c r="A51" i="2"/>
  <c r="A49" i="2"/>
  <c r="A47" i="2"/>
  <c r="A45" i="2"/>
  <c r="A43" i="2"/>
  <c r="A41" i="2"/>
  <c r="A39" i="2"/>
  <c r="A37" i="2"/>
  <c r="A35" i="2"/>
  <c r="A33" i="2"/>
  <c r="A31" i="2"/>
  <c r="A29" i="2"/>
  <c r="A27" i="2"/>
  <c r="A217" i="4" l="1"/>
  <c r="A229" i="3"/>
  <c r="A229" i="2"/>
  <c r="A41" i="4" l="1"/>
  <c r="A218" i="4"/>
  <c r="L53" i="6"/>
  <c r="A51" i="6"/>
  <c r="A47" i="6"/>
  <c r="A17" i="6"/>
  <c r="D52" i="6"/>
  <c r="C52" i="6"/>
  <c r="B52" i="6"/>
  <c r="A52" i="6"/>
  <c r="D51" i="6"/>
  <c r="C51" i="6"/>
  <c r="B51" i="6"/>
  <c r="D50" i="6"/>
  <c r="C50" i="6"/>
  <c r="B50" i="6"/>
  <c r="D49" i="6"/>
  <c r="C49" i="6"/>
  <c r="B49" i="6"/>
  <c r="D48" i="6"/>
  <c r="C48" i="6"/>
  <c r="B48" i="6"/>
  <c r="D47" i="6"/>
  <c r="C47" i="6"/>
  <c r="B47" i="6"/>
  <c r="D46" i="6"/>
  <c r="C46" i="6"/>
  <c r="B46" i="6"/>
  <c r="D45" i="6"/>
  <c r="C45" i="6"/>
  <c r="B45" i="6"/>
  <c r="D44" i="6"/>
  <c r="C44" i="6"/>
  <c r="B44" i="6"/>
  <c r="D43" i="6"/>
  <c r="C43" i="6"/>
  <c r="B43" i="6"/>
  <c r="D42" i="6"/>
  <c r="C42" i="6"/>
  <c r="B42" i="6"/>
  <c r="D41" i="6"/>
  <c r="C41" i="6"/>
  <c r="B41" i="6"/>
  <c r="D40" i="6"/>
  <c r="C40" i="6"/>
  <c r="B40" i="6"/>
  <c r="D39" i="6"/>
  <c r="C39" i="6"/>
  <c r="B39" i="6"/>
  <c r="D38" i="6"/>
  <c r="C38" i="6"/>
  <c r="B38" i="6"/>
  <c r="D37" i="6"/>
  <c r="C37" i="6"/>
  <c r="B37" i="6"/>
  <c r="D36" i="6"/>
  <c r="C36" i="6"/>
  <c r="B36" i="6"/>
  <c r="D35" i="6"/>
  <c r="C35" i="6"/>
  <c r="B35" i="6"/>
  <c r="A35" i="6"/>
  <c r="D34" i="6"/>
  <c r="C34" i="6"/>
  <c r="B34" i="6"/>
  <c r="D33" i="6"/>
  <c r="C33" i="6"/>
  <c r="B33" i="6"/>
  <c r="D32" i="6"/>
  <c r="C32" i="6"/>
  <c r="B32" i="6"/>
  <c r="D31" i="6"/>
  <c r="C31" i="6"/>
  <c r="B31" i="6"/>
  <c r="D30" i="6"/>
  <c r="C30" i="6"/>
  <c r="B30" i="6"/>
  <c r="D29" i="6"/>
  <c r="C29" i="6"/>
  <c r="B29" i="6"/>
  <c r="D28" i="6"/>
  <c r="C28" i="6"/>
  <c r="B28" i="6"/>
  <c r="D27" i="6"/>
  <c r="C27" i="6"/>
  <c r="B27" i="6"/>
  <c r="A27" i="6"/>
  <c r="D26" i="6"/>
  <c r="C26" i="6"/>
  <c r="B26" i="6"/>
  <c r="D25" i="6"/>
  <c r="C25" i="6"/>
  <c r="B25" i="6"/>
  <c r="A25" i="6"/>
  <c r="D24" i="6"/>
  <c r="C24" i="6"/>
  <c r="B24" i="6"/>
  <c r="D23" i="6"/>
  <c r="C23" i="6"/>
  <c r="B23" i="6"/>
  <c r="D22" i="6"/>
  <c r="C22" i="6"/>
  <c r="B22" i="6"/>
  <c r="D21" i="6"/>
  <c r="C21" i="6"/>
  <c r="B21" i="6"/>
  <c r="A21" i="6"/>
  <c r="D20" i="6"/>
  <c r="C20" i="6"/>
  <c r="B20" i="6"/>
  <c r="D19" i="6"/>
  <c r="C19" i="6"/>
  <c r="B19" i="6"/>
  <c r="A19" i="6"/>
  <c r="D18" i="6"/>
  <c r="C18" i="6"/>
  <c r="B18" i="6"/>
  <c r="D17" i="6"/>
  <c r="C17" i="6"/>
  <c r="B17" i="6"/>
  <c r="D16" i="6"/>
  <c r="C16" i="6"/>
  <c r="B16" i="6"/>
  <c r="D15" i="6"/>
  <c r="C15" i="6"/>
  <c r="B15" i="6"/>
  <c r="D14" i="6"/>
  <c r="C14" i="6"/>
  <c r="B14" i="6"/>
  <c r="D13" i="6"/>
  <c r="C13" i="6"/>
  <c r="B13" i="6"/>
  <c r="A13" i="6"/>
  <c r="D12" i="6"/>
  <c r="C12" i="6"/>
  <c r="B12" i="6"/>
  <c r="D11" i="6"/>
  <c r="C11" i="6"/>
  <c r="B11" i="6"/>
  <c r="D10" i="6"/>
  <c r="C10" i="6"/>
  <c r="B10" i="6"/>
  <c r="D9" i="6"/>
  <c r="C9" i="6"/>
  <c r="B9" i="6"/>
  <c r="D8" i="6"/>
  <c r="C8" i="6"/>
  <c r="B8" i="6"/>
  <c r="D7" i="6"/>
  <c r="C7" i="6"/>
  <c r="B7" i="6"/>
  <c r="D6" i="6"/>
  <c r="C6" i="6"/>
  <c r="B6" i="6"/>
  <c r="D5" i="6"/>
  <c r="C5" i="6"/>
  <c r="B5" i="6"/>
  <c r="A5" i="6"/>
  <c r="D4" i="6"/>
  <c r="C4" i="6"/>
  <c r="B4" i="6"/>
  <c r="A2" i="6"/>
  <c r="A53" i="3"/>
  <c r="C230" i="3"/>
  <c r="B230" i="3"/>
  <c r="A230" i="3"/>
  <c r="C229" i="3"/>
  <c r="B229" i="3"/>
  <c r="C228" i="3"/>
  <c r="B228" i="3"/>
  <c r="C227" i="3"/>
  <c r="B227" i="3"/>
  <c r="C226" i="3"/>
  <c r="B226" i="3"/>
  <c r="C225" i="3"/>
  <c r="B225" i="3"/>
  <c r="C224" i="3"/>
  <c r="B224" i="3"/>
  <c r="C223" i="3"/>
  <c r="B223" i="3"/>
  <c r="C222" i="3"/>
  <c r="B222" i="3"/>
  <c r="C221" i="3"/>
  <c r="B221" i="3"/>
  <c r="C220" i="3"/>
  <c r="B220" i="3"/>
  <c r="C219" i="3"/>
  <c r="B219" i="3"/>
  <c r="C218" i="3"/>
  <c r="B218" i="3"/>
  <c r="C217" i="3"/>
  <c r="B217" i="3"/>
  <c r="C216" i="3"/>
  <c r="B216" i="3"/>
  <c r="C215" i="3"/>
  <c r="B215" i="3"/>
  <c r="C214" i="3"/>
  <c r="B214" i="3"/>
  <c r="C213" i="3"/>
  <c r="B213" i="3"/>
  <c r="C212" i="3"/>
  <c r="B212" i="3"/>
  <c r="C211" i="3"/>
  <c r="B211" i="3"/>
  <c r="C210" i="3"/>
  <c r="B210" i="3"/>
  <c r="C209" i="3"/>
  <c r="B209" i="3"/>
  <c r="C208" i="3"/>
  <c r="B208" i="3"/>
  <c r="C207" i="3"/>
  <c r="B207" i="3"/>
  <c r="C206" i="3"/>
  <c r="B206" i="3"/>
  <c r="C205" i="3"/>
  <c r="B205" i="3"/>
  <c r="C204" i="3"/>
  <c r="B204" i="3"/>
  <c r="C203" i="3"/>
  <c r="B203" i="3"/>
  <c r="C202" i="3"/>
  <c r="B202" i="3"/>
  <c r="C201" i="3"/>
  <c r="B201" i="3"/>
  <c r="C200" i="3"/>
  <c r="B200" i="3"/>
  <c r="C199" i="3"/>
  <c r="B199" i="3"/>
  <c r="C198" i="3"/>
  <c r="B198" i="3"/>
  <c r="C197" i="3"/>
  <c r="B197" i="3"/>
  <c r="C196" i="3"/>
  <c r="B196" i="3"/>
  <c r="C195" i="3"/>
  <c r="B195" i="3"/>
  <c r="C194" i="3"/>
  <c r="B194" i="3"/>
  <c r="C193" i="3"/>
  <c r="B193" i="3"/>
  <c r="C192" i="3"/>
  <c r="B192" i="3"/>
  <c r="C191" i="3"/>
  <c r="B191" i="3"/>
  <c r="C190" i="3"/>
  <c r="B190" i="3"/>
  <c r="C189" i="3"/>
  <c r="B189" i="3"/>
  <c r="C188" i="3"/>
  <c r="B188" i="3"/>
  <c r="C187" i="3"/>
  <c r="B187" i="3"/>
  <c r="C186" i="3"/>
  <c r="B186" i="3"/>
  <c r="C185" i="3"/>
  <c r="B185" i="3"/>
  <c r="C184" i="3"/>
  <c r="B184" i="3"/>
  <c r="C183" i="3"/>
  <c r="B183" i="3"/>
  <c r="C182" i="3"/>
  <c r="B182" i="3"/>
  <c r="C181" i="3"/>
  <c r="B181" i="3"/>
  <c r="C180" i="3"/>
  <c r="B180" i="3"/>
  <c r="C179" i="3"/>
  <c r="B179" i="3"/>
  <c r="C178" i="3"/>
  <c r="B178" i="3"/>
  <c r="C177" i="3"/>
  <c r="B177" i="3"/>
  <c r="C176" i="3"/>
  <c r="B176" i="3"/>
  <c r="C175" i="3"/>
  <c r="B175" i="3"/>
  <c r="C174" i="3"/>
  <c r="B174" i="3"/>
  <c r="C173" i="3"/>
  <c r="B173" i="3"/>
  <c r="C172" i="3"/>
  <c r="B172" i="3"/>
  <c r="C171" i="3"/>
  <c r="B171" i="3"/>
  <c r="C170" i="3"/>
  <c r="B170" i="3"/>
  <c r="C169" i="3"/>
  <c r="B169" i="3"/>
  <c r="C168" i="3"/>
  <c r="B168" i="3"/>
  <c r="C167" i="3"/>
  <c r="B167" i="3"/>
  <c r="C166" i="3"/>
  <c r="B166" i="3"/>
  <c r="C165" i="3"/>
  <c r="B165" i="3"/>
  <c r="C164" i="3"/>
  <c r="B164" i="3"/>
  <c r="C163" i="3"/>
  <c r="B163" i="3"/>
  <c r="C162" i="3"/>
  <c r="B162" i="3"/>
  <c r="C161" i="3"/>
  <c r="B161" i="3"/>
  <c r="C160" i="3"/>
  <c r="B160" i="3"/>
  <c r="C159" i="3"/>
  <c r="B159" i="3"/>
  <c r="C158" i="3"/>
  <c r="B158" i="3"/>
  <c r="C157" i="3"/>
  <c r="B157" i="3"/>
  <c r="C156" i="3"/>
  <c r="B156" i="3"/>
  <c r="C155" i="3"/>
  <c r="B155" i="3"/>
  <c r="C154" i="3"/>
  <c r="B154" i="3"/>
  <c r="C153" i="3"/>
  <c r="B153" i="3"/>
  <c r="C152" i="3"/>
  <c r="B152" i="3"/>
  <c r="C151" i="3"/>
  <c r="B151" i="3"/>
  <c r="C150" i="3"/>
  <c r="B150" i="3"/>
  <c r="C149" i="3"/>
  <c r="B149" i="3"/>
  <c r="C148" i="3"/>
  <c r="B148" i="3"/>
  <c r="C147" i="3"/>
  <c r="B147" i="3"/>
  <c r="C146" i="3"/>
  <c r="B146" i="3"/>
  <c r="C145" i="3"/>
  <c r="B145" i="3"/>
  <c r="C144" i="3"/>
  <c r="B144" i="3"/>
  <c r="C143" i="3"/>
  <c r="B143" i="3"/>
  <c r="C142" i="3"/>
  <c r="B142" i="3"/>
  <c r="C141" i="3"/>
  <c r="B141" i="3"/>
  <c r="C140" i="3"/>
  <c r="B140" i="3"/>
  <c r="C139" i="3"/>
  <c r="B139" i="3"/>
  <c r="C138" i="3"/>
  <c r="B138" i="3"/>
  <c r="C137" i="3"/>
  <c r="B137" i="3"/>
  <c r="C136" i="3"/>
  <c r="B136" i="3"/>
  <c r="C135" i="3"/>
  <c r="B135" i="3"/>
  <c r="C134" i="3"/>
  <c r="B134" i="3"/>
  <c r="C133" i="3"/>
  <c r="B133" i="3"/>
  <c r="C132" i="3"/>
  <c r="B132" i="3"/>
  <c r="C131" i="3"/>
  <c r="B131" i="3"/>
  <c r="C130" i="3"/>
  <c r="B130" i="3"/>
  <c r="C129" i="3"/>
  <c r="B129" i="3"/>
  <c r="C128" i="3"/>
  <c r="B128" i="3"/>
  <c r="C127" i="3"/>
  <c r="B127" i="3"/>
  <c r="C126" i="3"/>
  <c r="B126" i="3"/>
  <c r="C125" i="3"/>
  <c r="B125" i="3"/>
  <c r="C124" i="3"/>
  <c r="B124" i="3"/>
  <c r="C123" i="3"/>
  <c r="B123" i="3"/>
  <c r="C122" i="3"/>
  <c r="B122" i="3"/>
  <c r="C121" i="3"/>
  <c r="B121" i="3"/>
  <c r="C120" i="3"/>
  <c r="B120" i="3"/>
  <c r="C119" i="3"/>
  <c r="B119" i="3"/>
  <c r="C118" i="3"/>
  <c r="B118" i="3"/>
  <c r="C117" i="3"/>
  <c r="B117" i="3"/>
  <c r="C116" i="3"/>
  <c r="B116" i="3"/>
  <c r="C115" i="3"/>
  <c r="B115" i="3"/>
  <c r="C114" i="3"/>
  <c r="B114" i="3"/>
  <c r="C113" i="3"/>
  <c r="B113" i="3"/>
  <c r="C112" i="3"/>
  <c r="B112" i="3"/>
  <c r="C111" i="3"/>
  <c r="B111" i="3"/>
  <c r="C110" i="3"/>
  <c r="B110" i="3"/>
  <c r="C109" i="3"/>
  <c r="B109" i="3"/>
  <c r="C108" i="3"/>
  <c r="B108" i="3"/>
  <c r="C107" i="3"/>
  <c r="B107" i="3"/>
  <c r="C106" i="3"/>
  <c r="B106"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A53" i="2"/>
  <c r="C230" i="2"/>
  <c r="B230" i="2"/>
  <c r="A230" i="2"/>
  <c r="C229" i="2"/>
  <c r="B229" i="2"/>
  <c r="C228" i="2"/>
  <c r="B228" i="2"/>
  <c r="C227" i="2"/>
  <c r="B227" i="2"/>
  <c r="C226" i="2"/>
  <c r="B226" i="2"/>
  <c r="C225" i="2"/>
  <c r="B225" i="2"/>
  <c r="C224" i="2"/>
  <c r="B224" i="2"/>
  <c r="C223" i="2"/>
  <c r="B223" i="2"/>
  <c r="C222" i="2"/>
  <c r="B222" i="2"/>
  <c r="C221" i="2"/>
  <c r="B221" i="2"/>
  <c r="C220" i="2"/>
  <c r="B220" i="2"/>
  <c r="C219" i="2"/>
  <c r="B219" i="2"/>
  <c r="C218" i="2"/>
  <c r="B218" i="2"/>
  <c r="C217" i="2"/>
  <c r="B217" i="2"/>
  <c r="C216" i="2"/>
  <c r="B216" i="2"/>
  <c r="C215" i="2"/>
  <c r="B215" i="2"/>
  <c r="C214" i="2"/>
  <c r="B214" i="2"/>
  <c r="C213" i="2"/>
  <c r="B213" i="2"/>
  <c r="C212" i="2"/>
  <c r="B212" i="2"/>
  <c r="C211" i="2"/>
  <c r="B211" i="2"/>
  <c r="C210" i="2"/>
  <c r="B210" i="2"/>
  <c r="C209" i="2"/>
  <c r="B209" i="2"/>
  <c r="C208" i="2"/>
  <c r="B208" i="2"/>
  <c r="C207" i="2"/>
  <c r="B207" i="2"/>
  <c r="C206" i="2"/>
  <c r="B206" i="2"/>
  <c r="C205" i="2"/>
  <c r="B205" i="2"/>
  <c r="C204" i="2"/>
  <c r="B204" i="2"/>
  <c r="C203" i="2"/>
  <c r="B203" i="2"/>
  <c r="C202" i="2"/>
  <c r="B202" i="2"/>
  <c r="C201" i="2"/>
  <c r="B201" i="2"/>
  <c r="C200" i="2"/>
  <c r="B200" i="2"/>
  <c r="C199" i="2"/>
  <c r="B199" i="2"/>
  <c r="C198" i="2"/>
  <c r="B198" i="2"/>
  <c r="C197" i="2"/>
  <c r="B197" i="2"/>
  <c r="C196" i="2"/>
  <c r="B196" i="2"/>
  <c r="C195" i="2"/>
  <c r="B195" i="2"/>
  <c r="C194" i="2"/>
  <c r="B194" i="2"/>
  <c r="C193" i="2"/>
  <c r="B193" i="2"/>
  <c r="C192" i="2"/>
  <c r="B192" i="2"/>
  <c r="C191" i="2"/>
  <c r="B191" i="2"/>
  <c r="C190" i="2"/>
  <c r="B190" i="2"/>
  <c r="C189" i="2"/>
  <c r="B189" i="2"/>
  <c r="C188" i="2"/>
  <c r="B188" i="2"/>
  <c r="C187" i="2"/>
  <c r="B187" i="2"/>
  <c r="C186" i="2"/>
  <c r="B186" i="2"/>
  <c r="C185" i="2"/>
  <c r="B185" i="2"/>
  <c r="C184" i="2"/>
  <c r="B184" i="2"/>
  <c r="C183" i="2"/>
  <c r="B183" i="2"/>
  <c r="C182" i="2"/>
  <c r="B182" i="2"/>
  <c r="C181" i="2"/>
  <c r="B181" i="2"/>
  <c r="C180" i="2"/>
  <c r="B180" i="2"/>
  <c r="C179" i="2"/>
  <c r="B179" i="2"/>
  <c r="C178" i="2"/>
  <c r="B178" i="2"/>
  <c r="C177" i="2"/>
  <c r="B177" i="2"/>
  <c r="C176" i="2"/>
  <c r="B176" i="2"/>
  <c r="C175" i="2"/>
  <c r="B175" i="2"/>
  <c r="C174" i="2"/>
  <c r="B174" i="2"/>
  <c r="C173" i="2"/>
  <c r="B173" i="2"/>
  <c r="C172" i="2"/>
  <c r="B172" i="2"/>
  <c r="C171" i="2"/>
  <c r="B171" i="2"/>
  <c r="C170" i="2"/>
  <c r="B170" i="2"/>
  <c r="C169" i="2"/>
  <c r="B169" i="2"/>
  <c r="C168" i="2"/>
  <c r="B168" i="2"/>
  <c r="C167" i="2"/>
  <c r="B167" i="2"/>
  <c r="C166" i="2"/>
  <c r="B166" i="2"/>
  <c r="C165" i="2"/>
  <c r="B165" i="2"/>
  <c r="C164" i="2"/>
  <c r="B164" i="2"/>
  <c r="C163" i="2"/>
  <c r="B163" i="2"/>
  <c r="C162" i="2"/>
  <c r="B162" i="2"/>
  <c r="C161" i="2"/>
  <c r="B161" i="2"/>
  <c r="C160" i="2"/>
  <c r="B160" i="2"/>
  <c r="C159" i="2"/>
  <c r="B159" i="2"/>
  <c r="C158" i="2"/>
  <c r="B158" i="2"/>
  <c r="C157" i="2"/>
  <c r="B157" i="2"/>
  <c r="C156" i="2"/>
  <c r="B156" i="2"/>
  <c r="C155" i="2"/>
  <c r="B155" i="2"/>
  <c r="C154" i="2"/>
  <c r="B154" i="2"/>
  <c r="C153" i="2"/>
  <c r="B153" i="2"/>
  <c r="C152" i="2"/>
  <c r="B152" i="2"/>
  <c r="C151" i="2"/>
  <c r="B151" i="2"/>
  <c r="C150" i="2"/>
  <c r="B150" i="2"/>
  <c r="C149" i="2"/>
  <c r="B149" i="2"/>
  <c r="C148" i="2"/>
  <c r="B148" i="2"/>
  <c r="C147" i="2"/>
  <c r="B147" i="2"/>
  <c r="C146" i="2"/>
  <c r="B146" i="2"/>
  <c r="C145" i="2"/>
  <c r="B145" i="2"/>
  <c r="C144" i="2"/>
  <c r="B144" i="2"/>
  <c r="C143" i="2"/>
  <c r="B143" i="2"/>
  <c r="C142" i="2"/>
  <c r="B142" i="2"/>
  <c r="C141" i="2"/>
  <c r="B141" i="2"/>
  <c r="C140" i="2"/>
  <c r="B140" i="2"/>
  <c r="C139" i="2"/>
  <c r="B139" i="2"/>
  <c r="C138" i="2"/>
  <c r="B138" i="2"/>
  <c r="C137" i="2"/>
  <c r="B137" i="2"/>
  <c r="C136" i="2"/>
  <c r="B136" i="2"/>
  <c r="C135" i="2"/>
  <c r="B135" i="2"/>
  <c r="C134" i="2"/>
  <c r="B134" i="2"/>
  <c r="C133" i="2"/>
  <c r="B133" i="2"/>
  <c r="C132" i="2"/>
  <c r="B132" i="2"/>
  <c r="C131" i="2"/>
  <c r="B131" i="2"/>
  <c r="C130" i="2"/>
  <c r="B130" i="2"/>
  <c r="C129" i="2"/>
  <c r="B129" i="2"/>
  <c r="C128" i="2"/>
  <c r="B128" i="2"/>
  <c r="C127" i="2"/>
  <c r="B127" i="2"/>
  <c r="C126" i="2"/>
  <c r="B126" i="2"/>
  <c r="C125" i="2"/>
  <c r="B125" i="2"/>
  <c r="C124" i="2"/>
  <c r="B124" i="2"/>
  <c r="C123" i="2"/>
  <c r="B123" i="2"/>
  <c r="C122" i="2"/>
  <c r="B122" i="2"/>
  <c r="C121" i="2"/>
  <c r="B121" i="2"/>
  <c r="C120" i="2"/>
  <c r="B120" i="2"/>
  <c r="C119" i="2"/>
  <c r="B119" i="2"/>
  <c r="C118" i="2"/>
  <c r="B118" i="2"/>
  <c r="C117" i="2"/>
  <c r="B117" i="2"/>
  <c r="C116" i="2"/>
  <c r="B116" i="2"/>
  <c r="C115" i="2"/>
  <c r="B115" i="2"/>
  <c r="C114" i="2"/>
  <c r="B114" i="2"/>
  <c r="C113" i="2"/>
  <c r="B113" i="2"/>
  <c r="C112" i="2"/>
  <c r="B112" i="2"/>
  <c r="C111" i="2"/>
  <c r="B111" i="2"/>
  <c r="C110" i="2"/>
  <c r="B110" i="2"/>
  <c r="C109" i="2"/>
  <c r="B109" i="2"/>
  <c r="C108" i="2"/>
  <c r="B108" i="2"/>
  <c r="C107" i="2"/>
  <c r="B107" i="2"/>
  <c r="C106" i="2"/>
  <c r="B106" i="2"/>
  <c r="C105" i="2"/>
  <c r="B105" i="2"/>
  <c r="C104" i="2"/>
  <c r="B104" i="2"/>
  <c r="C103" i="2"/>
  <c r="B103" i="2"/>
  <c r="C102" i="2"/>
  <c r="B102" i="2"/>
  <c r="C101" i="2"/>
  <c r="B101" i="2"/>
  <c r="C100" i="2"/>
  <c r="B100" i="2"/>
  <c r="C99" i="2"/>
  <c r="B99" i="2"/>
  <c r="C98" i="2"/>
  <c r="B98" i="2"/>
  <c r="C97" i="2"/>
  <c r="B97" i="2"/>
  <c r="C96" i="2"/>
  <c r="B96" i="2"/>
  <c r="C95" i="2"/>
  <c r="B95" i="2"/>
  <c r="C94" i="2"/>
  <c r="B94" i="2"/>
  <c r="C93" i="2"/>
  <c r="B93" i="2"/>
  <c r="C92" i="2"/>
  <c r="B92" i="2"/>
  <c r="C91" i="2"/>
  <c r="B91" i="2"/>
  <c r="C90" i="2"/>
  <c r="B90" i="2"/>
  <c r="C89" i="2"/>
  <c r="B89" i="2"/>
  <c r="C88" i="2"/>
  <c r="B88" i="2"/>
  <c r="C87" i="2"/>
  <c r="B87" i="2"/>
  <c r="C86" i="2"/>
  <c r="B86" i="2"/>
  <c r="C85" i="2"/>
  <c r="B85" i="2"/>
  <c r="C84" i="2"/>
  <c r="B84" i="2"/>
  <c r="C83" i="2"/>
  <c r="B83" i="2"/>
  <c r="C82" i="2"/>
  <c r="B82" i="2"/>
  <c r="C81" i="2"/>
  <c r="B81" i="2"/>
  <c r="C80" i="2"/>
  <c r="B80" i="2"/>
  <c r="C79" i="2"/>
  <c r="B79" i="2"/>
  <c r="C78" i="2"/>
  <c r="B78" i="2"/>
  <c r="C77" i="2"/>
  <c r="B77" i="2"/>
  <c r="C76" i="2"/>
  <c r="B76" i="2"/>
  <c r="C75" i="2"/>
  <c r="B75" i="2"/>
  <c r="C74" i="2"/>
  <c r="B74" i="2"/>
  <c r="C73" i="2"/>
  <c r="B73" i="2"/>
  <c r="C72" i="2"/>
  <c r="B72" i="2"/>
  <c r="C71" i="2"/>
  <c r="B71" i="2"/>
  <c r="C70" i="2"/>
  <c r="B70" i="2"/>
  <c r="C69" i="2"/>
  <c r="B69" i="2"/>
  <c r="C68" i="2"/>
  <c r="B68" i="2"/>
  <c r="C67" i="2"/>
  <c r="B67" i="2"/>
  <c r="C66" i="2"/>
  <c r="B66" i="2"/>
  <c r="C65" i="2"/>
  <c r="B65" i="2"/>
  <c r="C64" i="2"/>
  <c r="B64" i="2"/>
  <c r="C63" i="2"/>
  <c r="B63" i="2"/>
  <c r="C62" i="2"/>
  <c r="B62" i="2"/>
  <c r="C61" i="2"/>
  <c r="B61" i="2"/>
  <c r="C60" i="2"/>
  <c r="B60" i="2"/>
  <c r="C59" i="2"/>
  <c r="B59" i="2"/>
  <c r="C58" i="2"/>
  <c r="B58" i="2"/>
  <c r="C57" i="2"/>
  <c r="B57" i="2"/>
  <c r="C56" i="2"/>
  <c r="B56" i="2"/>
  <c r="C55" i="2"/>
  <c r="B55" i="2"/>
  <c r="C54" i="2"/>
  <c r="B54" i="2"/>
  <c r="C53" i="2"/>
  <c r="B53" i="2"/>
  <c r="C52" i="2"/>
  <c r="B52" i="2"/>
  <c r="C51" i="2"/>
  <c r="B51" i="2"/>
  <c r="C50" i="2"/>
  <c r="B50" i="2"/>
  <c r="C49" i="2"/>
  <c r="B49" i="2"/>
  <c r="C48" i="2"/>
  <c r="B48" i="2"/>
  <c r="C47" i="2"/>
  <c r="B47" i="2"/>
  <c r="C46" i="2"/>
  <c r="B46" i="2"/>
  <c r="C45" i="2"/>
  <c r="B45" i="2"/>
  <c r="C44" i="2"/>
  <c r="B44" i="2"/>
  <c r="C43" i="2"/>
  <c r="B43" i="2"/>
  <c r="C42" i="2"/>
  <c r="B42" i="2"/>
  <c r="C41" i="2"/>
  <c r="B41" i="2"/>
  <c r="C40" i="2"/>
  <c r="B40" i="2"/>
  <c r="C39" i="2"/>
  <c r="B39" i="2"/>
  <c r="C38" i="2"/>
  <c r="B38" i="2"/>
  <c r="C37" i="2"/>
  <c r="B37" i="2"/>
  <c r="C36" i="2"/>
  <c r="B36" i="2"/>
  <c r="C35" i="2"/>
  <c r="B35" i="2"/>
  <c r="C34" i="2"/>
  <c r="B34" i="2"/>
  <c r="C33" i="2"/>
  <c r="B33" i="2"/>
  <c r="C32" i="2"/>
  <c r="B32" i="2"/>
  <c r="C31" i="2"/>
  <c r="B31" i="2"/>
  <c r="C30" i="2"/>
  <c r="B30" i="2"/>
  <c r="C29" i="2"/>
  <c r="B29" i="2"/>
  <c r="C28" i="2"/>
  <c r="B28" i="2"/>
  <c r="C27" i="2"/>
  <c r="B27" i="2"/>
  <c r="C26" i="2"/>
  <c r="B26" i="2"/>
  <c r="C25" i="2"/>
  <c r="B25" i="2"/>
  <c r="C24" i="2"/>
  <c r="B24" i="2"/>
  <c r="C23" i="2"/>
  <c r="B23" i="2"/>
  <c r="C22" i="2"/>
  <c r="B22" i="2"/>
  <c r="C21" i="2"/>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C4" i="2"/>
  <c r="B4" i="2"/>
  <c r="A230" i="1"/>
  <c r="A229" i="1"/>
  <c r="A227" i="1"/>
  <c r="A225" i="1"/>
  <c r="A223" i="1"/>
  <c r="A221" i="1"/>
  <c r="A219" i="1"/>
  <c r="A217" i="1"/>
  <c r="A215" i="1"/>
  <c r="A213" i="1"/>
  <c r="A211" i="1"/>
  <c r="A209" i="1"/>
  <c r="A207" i="1"/>
  <c r="A205" i="1"/>
  <c r="A203" i="1"/>
  <c r="A201" i="1"/>
  <c r="A199" i="1"/>
  <c r="A197" i="1"/>
  <c r="A195" i="1"/>
  <c r="A193" i="1"/>
  <c r="A191" i="1"/>
  <c r="A189" i="1"/>
  <c r="A187" i="1"/>
  <c r="A185" i="1"/>
  <c r="A183" i="1"/>
  <c r="A181" i="1"/>
  <c r="A179" i="1"/>
  <c r="A177" i="1"/>
  <c r="A175" i="1"/>
  <c r="A173" i="1"/>
  <c r="A171" i="1"/>
  <c r="A169" i="1"/>
  <c r="A167" i="1"/>
  <c r="A165" i="1"/>
  <c r="A163" i="1"/>
  <c r="A161" i="1"/>
  <c r="A159" i="1"/>
  <c r="A157" i="1"/>
  <c r="A155" i="1"/>
  <c r="A153" i="1"/>
  <c r="A151" i="1"/>
  <c r="A149" i="1"/>
  <c r="A147" i="1"/>
  <c r="A145" i="1"/>
  <c r="A143" i="1"/>
  <c r="A53" i="1"/>
  <c r="A51" i="1"/>
  <c r="A49" i="1"/>
  <c r="A47" i="1"/>
  <c r="A45" i="1"/>
  <c r="A43" i="1"/>
  <c r="A41" i="1"/>
  <c r="A39" i="1"/>
</calcChain>
</file>

<file path=xl/sharedStrings.xml><?xml version="1.0" encoding="utf-8"?>
<sst xmlns="http://schemas.openxmlformats.org/spreadsheetml/2006/main" count="621" uniqueCount="136">
  <si>
    <t>* p&lt;0.05, ** p&lt;0.01, *** p&lt;0.001</t>
  </si>
  <si>
    <t>Notes</t>
  </si>
  <si>
    <t>Model 1</t>
  </si>
  <si>
    <t>Model 2</t>
  </si>
  <si>
    <t>Organizational R01 funding (IHS transformed)</t>
  </si>
  <si>
    <t>Organizational PI counts (IHS transformed)</t>
  </si>
  <si>
    <t xml:space="preserve">The reported estimates are average marginal effects for a probit model considering the probability an application is awarded. Robust standard errors clustered at the applicant level appear in parentheses below the estimates. 
The reported estimates are average marginal effects for a probit model considering the probability an application is awarded. Robust standard errors clustered at the applicant level are reported in parentheses below the estimates. </t>
  </si>
  <si>
    <t>Race: AA/B</t>
  </si>
  <si>
    <t>Organization geographical region: West</t>
  </si>
  <si>
    <t>Organization geographical region: Outside US</t>
  </si>
  <si>
    <t>Carnegie classification: Medical School</t>
  </si>
  <si>
    <t>Carnegie classification: Other</t>
  </si>
  <si>
    <t>Carnegie classification: R2</t>
  </si>
  <si>
    <t>Organization type (IMPAC II): Hospital</t>
  </si>
  <si>
    <t>Organization type (IMPAC II): Other</t>
  </si>
  <si>
    <t>Organization type (IMPAC II): Research</t>
  </si>
  <si>
    <t>Median RCR (IHS transformed)</t>
  </si>
  <si>
    <t>Top-decile RCR publication count (IHS transformed)</t>
  </si>
  <si>
    <t>Application is a resubmission</t>
  </si>
  <si>
    <t>Year since applicant's last degree</t>
  </si>
  <si>
    <t>Number of prior R01 applications</t>
  </si>
  <si>
    <t>Number of prior R01 awards</t>
  </si>
  <si>
    <t>Applicant is an ESI</t>
  </si>
  <si>
    <t>Variables</t>
  </si>
  <si>
    <t>Average marginal effects for the probability an application is awarded (FY2011-FY2015)</t>
  </si>
  <si>
    <t>Average marginal effects for the probability an application is discussed (FY2011-FY2015)</t>
  </si>
  <si>
    <t>No available biosketch data</t>
  </si>
  <si>
    <t>Topic area indicator 1</t>
  </si>
  <si>
    <t>Topic area indicator 2</t>
  </si>
  <si>
    <t>Topic area indicator 3</t>
  </si>
  <si>
    <t>Topic area indicator 4</t>
  </si>
  <si>
    <t>Topic area indicator 5</t>
  </si>
  <si>
    <t>Topic area indicator 6</t>
  </si>
  <si>
    <t>Topic area indicator 7</t>
  </si>
  <si>
    <t>Topic area indicator 8</t>
  </si>
  <si>
    <t>Topic area indicator 9</t>
  </si>
  <si>
    <t>Topic area indicator 10</t>
  </si>
  <si>
    <t>Topic area indicator 11</t>
  </si>
  <si>
    <t>Topic area indicator 12</t>
  </si>
  <si>
    <t>Topic area indicator 13</t>
  </si>
  <si>
    <t>Topic area indicator 14</t>
  </si>
  <si>
    <t>Topic area indicator 15</t>
  </si>
  <si>
    <t>Topic area indicator 16</t>
  </si>
  <si>
    <t>Topic area indicator 17</t>
  </si>
  <si>
    <t>Topic area indicator 18</t>
  </si>
  <si>
    <t>Topic area indicator 19</t>
  </si>
  <si>
    <t>Topic area indicator 20</t>
  </si>
  <si>
    <t>Topic area indicator 21</t>
  </si>
  <si>
    <t>Topic area indicator 22</t>
  </si>
  <si>
    <t>Topic area indicator 23</t>
  </si>
  <si>
    <t>Topic area indicator 24</t>
  </si>
  <si>
    <t>Topic area indicator 25</t>
  </si>
  <si>
    <t>Topic area indicator 26</t>
  </si>
  <si>
    <t>Topic area indicator 27</t>
  </si>
  <si>
    <t>Topic area indicator 28</t>
  </si>
  <si>
    <t>Topic area indicator 29</t>
  </si>
  <si>
    <t>Topic area indicator 30</t>
  </si>
  <si>
    <t>Topic area indicator 31</t>
  </si>
  <si>
    <t>Topic area indicator 32</t>
  </si>
  <si>
    <t>Topic area indicator 33</t>
  </si>
  <si>
    <t>Topic area indicator 34</t>
  </si>
  <si>
    <t>Topic area indicator 35</t>
  </si>
  <si>
    <t>Topic area indicator 36</t>
  </si>
  <si>
    <t>Topic area indicator 37</t>
  </si>
  <si>
    <t>Topic area indicator 38</t>
  </si>
  <si>
    <t>Topic area indicator 39</t>
  </si>
  <si>
    <t>Topic area indicator 40</t>
  </si>
  <si>
    <t>Topic area indicator 41</t>
  </si>
  <si>
    <t>Topic area indicator 42</t>
  </si>
  <si>
    <t>Topic area indicator 43</t>
  </si>
  <si>
    <t>Topic area indicator 44</t>
  </si>
  <si>
    <t>Topic area indicator 45</t>
  </si>
  <si>
    <t>Topic area indicator 46</t>
  </si>
  <si>
    <t>Topic area indicator 47</t>
  </si>
  <si>
    <t>Topic area indicator 48</t>
  </si>
  <si>
    <t>Topic area indicator 49</t>
  </si>
  <si>
    <t>Topic area indicator 50</t>
  </si>
  <si>
    <t>Topic area indicator 51</t>
  </si>
  <si>
    <t>Topic area indicator 52</t>
  </si>
  <si>
    <t>Topic area indicator 53</t>
  </si>
  <si>
    <t>Topic area indicator 54</t>
  </si>
  <si>
    <t>Topic area indicator 55</t>
  </si>
  <si>
    <t>Topic area indicator 56</t>
  </si>
  <si>
    <t>Topic area indicator 57</t>
  </si>
  <si>
    <t>Topic area indicator 58</t>
  </si>
  <si>
    <t>Topic area indicator 59</t>
  </si>
  <si>
    <t>Topic area indicator 60</t>
  </si>
  <si>
    <t>Topic area indicator 61</t>
  </si>
  <si>
    <t>Topic area indicator 62</t>
  </si>
  <si>
    <t>Topic area indicator 63</t>
  </si>
  <si>
    <t>Topic area indicator 64</t>
  </si>
  <si>
    <t>Topic area indicator 65</t>
  </si>
  <si>
    <t>Topic area indicator 66</t>
  </si>
  <si>
    <t>Topic area indicator 67</t>
  </si>
  <si>
    <t>Topic area indicator 68</t>
  </si>
  <si>
    <t>Topic area indicator 69</t>
  </si>
  <si>
    <t>Topic area indicator 70</t>
  </si>
  <si>
    <t>Topic area indicator 71</t>
  </si>
  <si>
    <t>Topic area indicator 72</t>
  </si>
  <si>
    <t>Topic area indicator 73</t>
  </si>
  <si>
    <t>Topic area indicator 74</t>
  </si>
  <si>
    <t>Topic area indicator 75</t>
  </si>
  <si>
    <t>Topic area indicator 76</t>
  </si>
  <si>
    <t>Topic area indicator 77</t>
  </si>
  <si>
    <t>Topic area indicator 78</t>
  </si>
  <si>
    <t>Topic area indicator 79</t>
  </si>
  <si>
    <t>Topic area indicator 80</t>
  </si>
  <si>
    <t>Topic area indicator 81</t>
  </si>
  <si>
    <t>Topic area indicator 82</t>
  </si>
  <si>
    <t>Topic area indicator 83</t>
  </si>
  <si>
    <t>Topic area indicator 84</t>
  </si>
  <si>
    <t>Topic area indicator 85</t>
  </si>
  <si>
    <t>Topic area indicator 86</t>
  </si>
  <si>
    <t>Topic area indicator 87</t>
  </si>
  <si>
    <t>Topic area indicator 88</t>
  </si>
  <si>
    <t xml:space="preserve">The reported estimates are average marginal effects for a probit model considering the probability an application is discussed. Robust standard errors clustered at the applicant level are reported in parentheses below the estimates. </t>
  </si>
  <si>
    <t>Average marginal effects for the probability an application is awarded given that it is discussed (FY2011-FY2015)</t>
  </si>
  <si>
    <t xml:space="preserve">The reported estimates are average marginal effects for a probit model considering the probability an application is awarded given that it has been discussed. Robust standard errors clustered at the applicant level are reported in parentheses below the estimates. </t>
  </si>
  <si>
    <t xml:space="preserve">The reported estimates are average marginal effects for a Poisson model considering the number of applications an individual submits. Robust standard errors are reported in parentheses below the estimates. </t>
  </si>
  <si>
    <t>Average marginal effects for the number of applications submitted by an applicant (FY2011-FY2015)</t>
  </si>
  <si>
    <t>Model 3</t>
  </si>
  <si>
    <t>Variable</t>
  </si>
  <si>
    <t xml:space="preserve">The reported estimates are average marginal effects for a probit model considering the probability an application is resubmitted. Robust standard errors clustered at the applicant level are reported in parentheses below the estimates. </t>
  </si>
  <si>
    <t>Average marginal effects for the probability an application is resubmitted (FY2011-FY2015)</t>
  </si>
  <si>
    <t>Percentile score</t>
  </si>
  <si>
    <t>Fiscal Year: 2012</t>
  </si>
  <si>
    <t/>
  </si>
  <si>
    <t>Fiscal year: 2013</t>
  </si>
  <si>
    <t>Fiscal Year: 2014</t>
  </si>
  <si>
    <t>Fiscal Year: 2015</t>
  </si>
  <si>
    <t>Organization geographical region: Midwest</t>
  </si>
  <si>
    <t>Organization geographical region: South</t>
  </si>
  <si>
    <t xml:space="preserve">Average marginal effects for the probability an application is resubmitted, controlling for percentile score (FY2011-FY2015)          
Average marginal effects for the probability an application is resubmitted (FY2011-FY2015)          
</t>
  </si>
  <si>
    <t>Model 1 controls only for race, Model 2 adds applicant and application-level controls, and Model 3 adds organizational controls. These models did not include a control for percentile score of the original application.</t>
  </si>
  <si>
    <t xml:space="preserve">Model 1 controls only for race and percentile score of the original application, Model 2 adds applicant and application-level controls, and Model 3 adds organizational controls. </t>
  </si>
  <si>
    <t xml:space="preserve">Model 1 includes the full set of controls except topic area and Model 2 adds 89 topic area indicators. Only 88 topic area indicators appear here, since indicator 1 was used as the base level.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</si>
</sst>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Alignment="1">
      <alignment horizontal="center"/>
    </xf>
    <xf numFmtId="0" fontId="0" fillId="0" borderId="0" xfId="0" applyAlignment="1">
      <alignment horizontal="center" wrapText="1"/>
    </xf>
    <xf numFmtId="0" fontId="1" fillId="0" borderId="0" xfId="0" applyFont="1"/>
    <xf numFmtId="0" fontId="1" fillId="0" borderId="0" xfId="0" applyFont="1" applyAlignment="1">
      <alignment horizontal="left" wrapText="1"/>
    </xf>
    <xf numFmtId="0" fontId="1" fillId="0" borderId="0" xfId="0" applyFont="1" applyAlignment="1">
      <alignment horizontal="center"/>
    </xf>
    <xf numFmtId="0" fontId="0" fillId="0" borderId="0" xfId="0" applyFill="1" applyAlignment="1">
      <alignment horizontal="center"/>
    </xf>
    <xf numFmtId="0" fontId="1" fillId="0" borderId="0" xfId="0" applyFont="1" applyAlignment="1">
      <alignment horizontal="center"/>
    </xf>
    <xf numFmtId="0" fontId="0" fillId="0" borderId="0" xfId="0" applyAlignment="1">
      <alignment horizontal="left" wrapText="1"/>
    </xf>
    <xf numFmtId="0" fontId="1" fillId="0" borderId="0" xfId="0" applyFont="1"/>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1142B-718F-4E54-B5AB-26DEA7889ED7}">
  <dimension ref="A1:L230"/>
  <sheetViews>
    <sheetView tabSelected="1" workbookViewId="0">
      <selection activeCell="C42" sqref="C42"/>
    </sheetView>
  </sheetViews>
  <sheetFormatPr defaultRowHeight="15" x14ac:dyDescent="0.25"/>
  <cols>
    <col min="1" max="1" width="47.28515625" bestFit="1" customWidth="1"/>
    <col min="2" max="2" width="11.28515625" style="1" bestFit="1" customWidth="1"/>
    <col min="3" max="3" width="12.42578125" style="1" bestFit="1" customWidth="1"/>
  </cols>
  <sheetData>
    <row r="1" spans="1:12" s="10" customFormat="1" x14ac:dyDescent="0.25">
      <c r="A1" s="10" t="s">
        <v>24</v>
      </c>
    </row>
    <row r="2" spans="1:12" x14ac:dyDescent="0.25">
      <c r="B2" s="8"/>
      <c r="C2" s="8"/>
    </row>
    <row r="3" spans="1:12" x14ac:dyDescent="0.25">
      <c r="A3" s="4" t="s">
        <v>23</v>
      </c>
      <c r="B3" s="6" t="s">
        <v>2</v>
      </c>
      <c r="C3" s="6" t="s">
        <v>3</v>
      </c>
      <c r="F3" s="5" t="s">
        <v>1</v>
      </c>
      <c r="G3" s="3"/>
      <c r="H3" s="3"/>
      <c r="I3" s="3"/>
      <c r="J3" s="3"/>
      <c r="K3" s="3"/>
    </row>
    <row r="4" spans="1:12" ht="15" customHeight="1" x14ac:dyDescent="0.25">
      <c r="A4" t="s">
        <v>7</v>
      </c>
      <c r="B4" s="1" t="str">
        <f>"-0.0357***"</f>
        <v>-0.0357***</v>
      </c>
      <c r="C4" s="1" t="str">
        <f>"-0.0329***"</f>
        <v>-0.0329***</v>
      </c>
      <c r="F4" s="9" t="s">
        <v>6</v>
      </c>
      <c r="G4" s="9"/>
      <c r="H4" s="9"/>
      <c r="I4" s="9"/>
      <c r="J4" s="9"/>
      <c r="K4" s="9"/>
      <c r="L4" s="9"/>
    </row>
    <row r="5" spans="1:12" ht="15" customHeight="1" x14ac:dyDescent="0.25">
      <c r="A5" t="s">
        <v>126</v>
      </c>
      <c r="B5" s="1" t="str">
        <f>"(0.00723)"</f>
        <v>(0.00723)</v>
      </c>
      <c r="C5" s="1" t="str">
        <f>"(0.00732)"</f>
        <v>(0.00732)</v>
      </c>
      <c r="F5" s="9"/>
      <c r="G5" s="9"/>
      <c r="H5" s="9"/>
      <c r="I5" s="9"/>
      <c r="J5" s="9"/>
      <c r="K5" s="9"/>
      <c r="L5" s="9"/>
    </row>
    <row r="6" spans="1:12" ht="15" customHeight="1" x14ac:dyDescent="0.25">
      <c r="A6" t="s">
        <v>125</v>
      </c>
      <c r="B6" s="1" t="str">
        <f>"0.000799"</f>
        <v>0.000799</v>
      </c>
      <c r="C6" s="1" t="str">
        <f>"0.000345"</f>
        <v>0.000345</v>
      </c>
      <c r="F6" s="9"/>
      <c r="G6" s="9"/>
      <c r="H6" s="9"/>
      <c r="I6" s="9"/>
      <c r="J6" s="9"/>
      <c r="K6" s="9"/>
      <c r="L6" s="9"/>
    </row>
    <row r="7" spans="1:12" x14ac:dyDescent="0.25">
      <c r="A7" t="s">
        <v>126</v>
      </c>
      <c r="B7" s="1" t="str">
        <f>"(0.00386)"</f>
        <v>(0.00386)</v>
      </c>
      <c r="C7" s="1" t="str">
        <f>"(0.00385)"</f>
        <v>(0.00385)</v>
      </c>
      <c r="F7" s="9"/>
      <c r="G7" s="9"/>
      <c r="H7" s="9"/>
      <c r="I7" s="9"/>
      <c r="J7" s="9"/>
      <c r="K7" s="9"/>
      <c r="L7" s="9"/>
    </row>
    <row r="8" spans="1:12" x14ac:dyDescent="0.25">
      <c r="A8" t="s">
        <v>127</v>
      </c>
      <c r="B8" s="1" t="str">
        <f>"-0.00679"</f>
        <v>-0.00679</v>
      </c>
      <c r="C8" s="1" t="str">
        <f>"-0.00733"</f>
        <v>-0.00733</v>
      </c>
      <c r="F8" s="3"/>
      <c r="G8" s="3"/>
      <c r="H8" s="3"/>
      <c r="I8" s="3"/>
      <c r="J8" s="3"/>
      <c r="K8" s="3"/>
    </row>
    <row r="9" spans="1:12" x14ac:dyDescent="0.25">
      <c r="A9" t="s">
        <v>126</v>
      </c>
      <c r="B9" s="1" t="str">
        <f>"(0.00386)"</f>
        <v>(0.00386)</v>
      </c>
      <c r="C9" s="1" t="str">
        <f>"(0.00386)"</f>
        <v>(0.00386)</v>
      </c>
      <c r="F9" s="9" t="s">
        <v>135</v>
      </c>
      <c r="G9" s="9"/>
      <c r="H9" s="9"/>
      <c r="I9" s="9"/>
      <c r="J9" s="9"/>
      <c r="K9" s="9"/>
      <c r="L9" s="9"/>
    </row>
    <row r="10" spans="1:12" x14ac:dyDescent="0.25">
      <c r="A10" t="s">
        <v>128</v>
      </c>
      <c r="B10" s="1" t="str">
        <f>"0.00635"</f>
        <v>0.00635</v>
      </c>
      <c r="C10" s="1" t="str">
        <f>"0.00565"</f>
        <v>0.00565</v>
      </c>
      <c r="F10" s="9"/>
      <c r="G10" s="9"/>
      <c r="H10" s="9"/>
      <c r="I10" s="9"/>
      <c r="J10" s="9"/>
      <c r="K10" s="9"/>
      <c r="L10" s="9"/>
    </row>
    <row r="11" spans="1:12" x14ac:dyDescent="0.25">
      <c r="A11" t="s">
        <v>126</v>
      </c>
      <c r="B11" s="1" t="str">
        <f>"(0.00399)"</f>
        <v>(0.00399)</v>
      </c>
      <c r="C11" s="1" t="str">
        <f>"(0.00399)"</f>
        <v>(0.00399)</v>
      </c>
      <c r="F11" s="9"/>
      <c r="G11" s="9"/>
      <c r="H11" s="9"/>
      <c r="I11" s="9"/>
      <c r="J11" s="9"/>
      <c r="K11" s="9"/>
      <c r="L11" s="9"/>
    </row>
    <row r="12" spans="1:12" x14ac:dyDescent="0.25">
      <c r="A12" t="s">
        <v>129</v>
      </c>
      <c r="B12" s="1" t="str">
        <f>"0.0121**"</f>
        <v>0.0121**</v>
      </c>
      <c r="C12" s="1" t="str">
        <f>"0.0108**"</f>
        <v>0.0108**</v>
      </c>
    </row>
    <row r="13" spans="1:12" x14ac:dyDescent="0.25">
      <c r="A13" t="s">
        <v>126</v>
      </c>
      <c r="B13" s="1" t="str">
        <f>"(0.00400)"</f>
        <v>(0.00400)</v>
      </c>
      <c r="C13" s="1" t="str">
        <f>"(0.00399)"</f>
        <v>(0.00399)</v>
      </c>
      <c r="F13" t="s">
        <v>0</v>
      </c>
    </row>
    <row r="14" spans="1:12" x14ac:dyDescent="0.25">
      <c r="A14" t="s">
        <v>130</v>
      </c>
      <c r="B14" s="1" t="str">
        <f>"-0.00880*"</f>
        <v>-0.00880*</v>
      </c>
      <c r="C14" s="1" t="str">
        <f>"-0.00642"</f>
        <v>-0.00642</v>
      </c>
    </row>
    <row r="15" spans="1:12" x14ac:dyDescent="0.25">
      <c r="A15" t="s">
        <v>126</v>
      </c>
      <c r="B15" s="1" t="str">
        <f>"(0.00373)"</f>
        <v>(0.00373)</v>
      </c>
      <c r="C15" s="1" t="str">
        <f>"(0.00374)"</f>
        <v>(0.00374)</v>
      </c>
    </row>
    <row r="16" spans="1:12" x14ac:dyDescent="0.25">
      <c r="A16" t="s">
        <v>131</v>
      </c>
      <c r="B16" s="1" t="str">
        <f>"-0.0128***"</f>
        <v>-0.0128***</v>
      </c>
      <c r="C16" s="1" t="str">
        <f>"-0.0104**"</f>
        <v>-0.0104**</v>
      </c>
    </row>
    <row r="17" spans="1:3" x14ac:dyDescent="0.25">
      <c r="A17" t="s">
        <v>126</v>
      </c>
      <c r="B17" s="1" t="str">
        <f>"(0.00342)"</f>
        <v>(0.00342)</v>
      </c>
      <c r="C17" s="1" t="str">
        <f>"(0.00342)"</f>
        <v>(0.00342)</v>
      </c>
    </row>
    <row r="18" spans="1:3" x14ac:dyDescent="0.25">
      <c r="A18" t="s">
        <v>8</v>
      </c>
      <c r="B18" s="1" t="str">
        <f>"0.00750*"</f>
        <v>0.00750*</v>
      </c>
      <c r="C18" s="1" t="str">
        <f>"0.00733*"</f>
        <v>0.00733*</v>
      </c>
    </row>
    <row r="19" spans="1:3" x14ac:dyDescent="0.25">
      <c r="A19" t="s">
        <v>126</v>
      </c>
      <c r="B19" s="1" t="str">
        <f>"(0.00369)"</f>
        <v>(0.00369)</v>
      </c>
      <c r="C19" s="1" t="str">
        <f>"(0.00365)"</f>
        <v>(0.00365)</v>
      </c>
    </row>
    <row r="20" spans="1:3" x14ac:dyDescent="0.25">
      <c r="A20" t="s">
        <v>9</v>
      </c>
      <c r="B20" s="1" t="str">
        <f>"0.0145"</f>
        <v>0.0145</v>
      </c>
      <c r="C20" s="1" t="str">
        <f>"0.0124"</f>
        <v>0.0124</v>
      </c>
    </row>
    <row r="21" spans="1:3" x14ac:dyDescent="0.25">
      <c r="A21" t="s">
        <v>126</v>
      </c>
      <c r="B21" s="1" t="str">
        <f>"(0.0151)"</f>
        <v>(0.0151)</v>
      </c>
      <c r="C21" s="1" t="str">
        <f>"(0.0149)"</f>
        <v>(0.0149)</v>
      </c>
    </row>
    <row r="22" spans="1:3" x14ac:dyDescent="0.25">
      <c r="A22" t="s">
        <v>10</v>
      </c>
      <c r="B22" s="1" t="str">
        <f>"-0.000491"</f>
        <v>-0.000491</v>
      </c>
      <c r="C22" s="1" t="str">
        <f>"0.000500"</f>
        <v>0.000500</v>
      </c>
    </row>
    <row r="23" spans="1:3" x14ac:dyDescent="0.25">
      <c r="A23" t="s">
        <v>126</v>
      </c>
      <c r="B23" s="1" t="str">
        <f>"(0.00421)"</f>
        <v>(0.00421)</v>
      </c>
      <c r="C23" s="1" t="str">
        <f>"(0.00421)"</f>
        <v>(0.00421)</v>
      </c>
    </row>
    <row r="24" spans="1:3" x14ac:dyDescent="0.25">
      <c r="A24" t="s">
        <v>11</v>
      </c>
      <c r="B24" s="1" t="str">
        <f>"-0.00921"</f>
        <v>-0.00921</v>
      </c>
      <c r="C24" s="1" t="str">
        <f>"-0.00632"</f>
        <v>-0.00632</v>
      </c>
    </row>
    <row r="25" spans="1:3" x14ac:dyDescent="0.25">
      <c r="A25" t="s">
        <v>126</v>
      </c>
      <c r="B25" s="1" t="str">
        <f>"(0.00825)"</f>
        <v>(0.00825)</v>
      </c>
      <c r="C25" s="1" t="str">
        <f>"(0.00828)"</f>
        <v>(0.00828)</v>
      </c>
    </row>
    <row r="26" spans="1:3" x14ac:dyDescent="0.25">
      <c r="A26" t="s">
        <v>12</v>
      </c>
      <c r="B26" s="1" t="str">
        <f>"-0.00617"</f>
        <v>-0.00617</v>
      </c>
      <c r="C26" s="1" t="str">
        <f>"-0.00374"</f>
        <v>-0.00374</v>
      </c>
    </row>
    <row r="27" spans="1:3" x14ac:dyDescent="0.25">
      <c r="A27" t="s">
        <v>126</v>
      </c>
      <c r="B27" s="1" t="str">
        <f>"(0.00510)"</f>
        <v>(0.00510)</v>
      </c>
      <c r="C27" s="1" t="str">
        <f>"(0.00513)"</f>
        <v>(0.00513)</v>
      </c>
    </row>
    <row r="28" spans="1:3" x14ac:dyDescent="0.25">
      <c r="A28" t="s">
        <v>13</v>
      </c>
      <c r="B28" s="1" t="str">
        <f>"0.000339"</f>
        <v>0.000339</v>
      </c>
      <c r="C28" s="1" t="str">
        <f>"0.00283"</f>
        <v>0.00283</v>
      </c>
    </row>
    <row r="29" spans="1:3" x14ac:dyDescent="0.25">
      <c r="A29" t="s">
        <v>126</v>
      </c>
      <c r="B29" s="1" t="str">
        <f>"(0.00928)"</f>
        <v>(0.00928)</v>
      </c>
      <c r="C29" s="1" t="str">
        <f>"(0.00933)"</f>
        <v>(0.00933)</v>
      </c>
    </row>
    <row r="30" spans="1:3" x14ac:dyDescent="0.25">
      <c r="A30" t="s">
        <v>14</v>
      </c>
      <c r="B30" s="1" t="str">
        <f>"0.0126"</f>
        <v>0.0126</v>
      </c>
      <c r="C30" s="1" t="str">
        <f>"0.0116"</f>
        <v>0.0116</v>
      </c>
    </row>
    <row r="31" spans="1:3" x14ac:dyDescent="0.25">
      <c r="A31" t="s">
        <v>126</v>
      </c>
      <c r="B31" s="1" t="str">
        <f>"(0.0113)"</f>
        <v>(0.0113)</v>
      </c>
      <c r="C31" s="1" t="str">
        <f>"(0.0112)"</f>
        <v>(0.0112)</v>
      </c>
    </row>
    <row r="32" spans="1:3" x14ac:dyDescent="0.25">
      <c r="A32" t="s">
        <v>15</v>
      </c>
      <c r="B32" s="1" t="str">
        <f>"0.0157"</f>
        <v>0.0157</v>
      </c>
      <c r="C32" s="1" t="str">
        <f>"0.0139"</f>
        <v>0.0139</v>
      </c>
    </row>
    <row r="33" spans="1:3" x14ac:dyDescent="0.25">
      <c r="A33" t="s">
        <v>126</v>
      </c>
      <c r="B33" s="1" t="str">
        <f>"(0.00974)"</f>
        <v>(0.00974)</v>
      </c>
      <c r="C33" s="1" t="str">
        <f>"(0.00963)"</f>
        <v>(0.00963)</v>
      </c>
    </row>
    <row r="34" spans="1:3" x14ac:dyDescent="0.25">
      <c r="A34" t="s">
        <v>4</v>
      </c>
      <c r="B34" s="1" t="str">
        <f>"-0.00177*"</f>
        <v>-0.00177*</v>
      </c>
      <c r="C34" s="1" t="str">
        <f>"-0.00203**"</f>
        <v>-0.00203**</v>
      </c>
    </row>
    <row r="35" spans="1:3" x14ac:dyDescent="0.25">
      <c r="A35" t="s">
        <v>126</v>
      </c>
      <c r="B35" s="1" t="str">
        <f>"(0.000753)"</f>
        <v>(0.000753)</v>
      </c>
      <c r="C35" s="1" t="str">
        <f>"(0.000749)"</f>
        <v>(0.000749)</v>
      </c>
    </row>
    <row r="36" spans="1:3" x14ac:dyDescent="0.25">
      <c r="A36" t="s">
        <v>5</v>
      </c>
      <c r="B36" s="1" t="str">
        <f>"0.00908***"</f>
        <v>0.00908***</v>
      </c>
      <c r="C36" s="1" t="str">
        <f>"0.0100***"</f>
        <v>0.0100***</v>
      </c>
    </row>
    <row r="37" spans="1:3" x14ac:dyDescent="0.25">
      <c r="A37" t="s">
        <v>126</v>
      </c>
      <c r="B37" s="1" t="str">
        <f>"(0.00208)"</f>
        <v>(0.00208)</v>
      </c>
      <c r="C37" s="1" t="str">
        <f>"(0.00207)"</f>
        <v>(0.00207)</v>
      </c>
    </row>
    <row r="38" spans="1:3" x14ac:dyDescent="0.25">
      <c r="A38" t="s">
        <v>16</v>
      </c>
      <c r="B38" s="1" t="str">
        <f>"0.0375***"</f>
        <v>0.0375***</v>
      </c>
      <c r="C38" s="1" t="str">
        <f>"0.0399***"</f>
        <v>0.0399***</v>
      </c>
    </row>
    <row r="39" spans="1:3" x14ac:dyDescent="0.25">
      <c r="A39" t="str">
        <f>""</f>
        <v/>
      </c>
      <c r="B39" s="1" t="str">
        <f>"(0.00302)"</f>
        <v>(0.00302)</v>
      </c>
      <c r="C39" s="1" t="str">
        <f>"(0.00303)"</f>
        <v>(0.00303)</v>
      </c>
    </row>
    <row r="40" spans="1:3" x14ac:dyDescent="0.25">
      <c r="A40" t="s">
        <v>17</v>
      </c>
      <c r="B40" s="1" t="str">
        <f>"0.00637**"</f>
        <v>0.00637**</v>
      </c>
      <c r="C40" s="1" t="str">
        <f>"0.00664**"</f>
        <v>0.00664**</v>
      </c>
    </row>
    <row r="41" spans="1:3" x14ac:dyDescent="0.25">
      <c r="A41" t="str">
        <f>""</f>
        <v/>
      </c>
      <c r="B41" s="1" t="str">
        <f>"(0.00208)"</f>
        <v>(0.00208)</v>
      </c>
      <c r="C41" s="1" t="str">
        <f>"(0.00209)"</f>
        <v>(0.00209)</v>
      </c>
    </row>
    <row r="42" spans="1:3" x14ac:dyDescent="0.25">
      <c r="A42" t="s">
        <v>18</v>
      </c>
      <c r="B42" s="1" t="str">
        <f>"0.223***"</f>
        <v>0.223***</v>
      </c>
      <c r="C42" s="1" t="str">
        <f>"0.223***"</f>
        <v>0.223***</v>
      </c>
    </row>
    <row r="43" spans="1:3" x14ac:dyDescent="0.25">
      <c r="A43" t="str">
        <f>""</f>
        <v/>
      </c>
      <c r="B43" s="1" t="str">
        <f>"(0.00369)"</f>
        <v>(0.00369)</v>
      </c>
      <c r="C43" s="1" t="str">
        <f>"(0.00369)"</f>
        <v>(0.00369)</v>
      </c>
    </row>
    <row r="44" spans="1:3" x14ac:dyDescent="0.25">
      <c r="A44" t="s">
        <v>19</v>
      </c>
      <c r="B44" s="1" t="str">
        <f>"0.000302"</f>
        <v>0.000302</v>
      </c>
      <c r="C44" s="1" t="str">
        <f>"0.000268"</f>
        <v>0.000268</v>
      </c>
    </row>
    <row r="45" spans="1:3" x14ac:dyDescent="0.25">
      <c r="A45" t="str">
        <f>""</f>
        <v/>
      </c>
      <c r="B45" s="1" t="str">
        <f>"(0.000217)"</f>
        <v>(0.000217)</v>
      </c>
      <c r="C45" s="1" t="str">
        <f>"(0.000217)"</f>
        <v>(0.000217)</v>
      </c>
    </row>
    <row r="46" spans="1:3" x14ac:dyDescent="0.25">
      <c r="A46" t="s">
        <v>26</v>
      </c>
      <c r="B46" s="1" t="str">
        <f>"-0.00725"</f>
        <v>-0.00725</v>
      </c>
      <c r="C46" s="1" t="str">
        <f>"-0.00743"</f>
        <v>-0.00743</v>
      </c>
    </row>
    <row r="47" spans="1:3" x14ac:dyDescent="0.25">
      <c r="A47" t="str">
        <f>""</f>
        <v/>
      </c>
      <c r="B47" s="1" t="str">
        <f>"(0.00446)"</f>
        <v>(0.00446)</v>
      </c>
      <c r="C47" s="1" t="str">
        <f>"(0.00445)"</f>
        <v>(0.00445)</v>
      </c>
    </row>
    <row r="48" spans="1:3" x14ac:dyDescent="0.25">
      <c r="A48" t="s">
        <v>20</v>
      </c>
      <c r="B48" s="1" t="str">
        <f>"-0.00593***"</f>
        <v>-0.00593***</v>
      </c>
      <c r="C48" s="1" t="str">
        <f>"-0.00561***"</f>
        <v>-0.00561***</v>
      </c>
    </row>
    <row r="49" spans="1:3" x14ac:dyDescent="0.25">
      <c r="A49" t="str">
        <f>""</f>
        <v/>
      </c>
      <c r="B49" s="1" t="str">
        <f>"(0.000298)"</f>
        <v>(0.000298)</v>
      </c>
      <c r="C49" s="1" t="str">
        <f>"(0.000295)"</f>
        <v>(0.000295)</v>
      </c>
    </row>
    <row r="50" spans="1:3" x14ac:dyDescent="0.25">
      <c r="A50" t="s">
        <v>21</v>
      </c>
      <c r="B50" s="1" t="str">
        <f>"0.0203***"</f>
        <v>0.0203***</v>
      </c>
      <c r="C50" s="1" t="str">
        <f>"0.0193***"</f>
        <v>0.0193***</v>
      </c>
    </row>
    <row r="51" spans="1:3" x14ac:dyDescent="0.25">
      <c r="A51" t="str">
        <f>""</f>
        <v/>
      </c>
      <c r="B51" s="1" t="str">
        <f>"(0.000916)"</f>
        <v>(0.000916)</v>
      </c>
      <c r="C51" s="1" t="str">
        <f>"(0.000906)"</f>
        <v>(0.000906)</v>
      </c>
    </row>
    <row r="52" spans="1:3" x14ac:dyDescent="0.25">
      <c r="A52" t="s">
        <v>22</v>
      </c>
      <c r="B52" s="1" t="str">
        <f>"0.0545***"</f>
        <v>0.0545***</v>
      </c>
      <c r="C52" s="1" t="str">
        <f>"0.0561***"</f>
        <v>0.0561***</v>
      </c>
    </row>
    <row r="53" spans="1:3" x14ac:dyDescent="0.25">
      <c r="A53" t="str">
        <f>""</f>
        <v/>
      </c>
      <c r="B53" s="1" t="str">
        <f>"(0.00569)"</f>
        <v>(0.00569)</v>
      </c>
      <c r="C53" s="1" t="str">
        <f>"(0.00568)"</f>
        <v>(0.00568)</v>
      </c>
    </row>
    <row r="54" spans="1:3" x14ac:dyDescent="0.25">
      <c r="A54" t="s">
        <v>27</v>
      </c>
      <c r="B54" s="1" t="str">
        <f>""</f>
        <v/>
      </c>
      <c r="C54" s="1" t="str">
        <f>"0.0170"</f>
        <v>0.0170</v>
      </c>
    </row>
    <row r="55" spans="1:3" x14ac:dyDescent="0.25">
      <c r="B55" s="1" t="str">
        <f>""</f>
        <v/>
      </c>
      <c r="C55" s="1" t="str">
        <f>"(0.0124)"</f>
        <v>(0.0124)</v>
      </c>
    </row>
    <row r="56" spans="1:3" x14ac:dyDescent="0.25">
      <c r="A56" t="s">
        <v>28</v>
      </c>
      <c r="B56" s="1" t="str">
        <f>""</f>
        <v/>
      </c>
      <c r="C56" s="1" t="str">
        <f>"0.0302"</f>
        <v>0.0302</v>
      </c>
    </row>
    <row r="57" spans="1:3" x14ac:dyDescent="0.25">
      <c r="B57" s="1" t="str">
        <f>""</f>
        <v/>
      </c>
      <c r="C57" s="1" t="str">
        <f>"(0.0158)"</f>
        <v>(0.0158)</v>
      </c>
    </row>
    <row r="58" spans="1:3" x14ac:dyDescent="0.25">
      <c r="A58" t="s">
        <v>29</v>
      </c>
      <c r="B58" s="1" t="str">
        <f>""</f>
        <v/>
      </c>
      <c r="C58" s="1" t="str">
        <f>"0.00869"</f>
        <v>0.00869</v>
      </c>
    </row>
    <row r="59" spans="1:3" x14ac:dyDescent="0.25">
      <c r="B59" s="1" t="str">
        <f>""</f>
        <v/>
      </c>
      <c r="C59" s="1" t="str">
        <f>"(0.0117)"</f>
        <v>(0.0117)</v>
      </c>
    </row>
    <row r="60" spans="1:3" x14ac:dyDescent="0.25">
      <c r="A60" t="s">
        <v>30</v>
      </c>
      <c r="B60" s="1" t="str">
        <f>""</f>
        <v/>
      </c>
      <c r="C60" s="1" t="str">
        <f>"0.0300**"</f>
        <v>0.0300**</v>
      </c>
    </row>
    <row r="61" spans="1:3" x14ac:dyDescent="0.25">
      <c r="B61" s="1" t="str">
        <f>""</f>
        <v/>
      </c>
      <c r="C61" s="1" t="str">
        <f>"(0.0109)"</f>
        <v>(0.0109)</v>
      </c>
    </row>
    <row r="62" spans="1:3" x14ac:dyDescent="0.25">
      <c r="A62" t="s">
        <v>31</v>
      </c>
      <c r="B62" s="1" t="str">
        <f>""</f>
        <v/>
      </c>
      <c r="C62" s="1" t="str">
        <f>"-0.0181"</f>
        <v>-0.0181</v>
      </c>
    </row>
    <row r="63" spans="1:3" x14ac:dyDescent="0.25">
      <c r="B63" s="1" t="str">
        <f>""</f>
        <v/>
      </c>
      <c r="C63" s="1" t="str">
        <f>"(0.0103)"</f>
        <v>(0.0103)</v>
      </c>
    </row>
    <row r="64" spans="1:3" x14ac:dyDescent="0.25">
      <c r="A64" t="s">
        <v>32</v>
      </c>
      <c r="B64" s="1" t="str">
        <f>""</f>
        <v/>
      </c>
      <c r="C64" s="1" t="str">
        <f>"0.0164"</f>
        <v>0.0164</v>
      </c>
    </row>
    <row r="65" spans="1:3" x14ac:dyDescent="0.25">
      <c r="B65" s="1" t="str">
        <f>""</f>
        <v/>
      </c>
      <c r="C65" s="1" t="str">
        <f>"(0.0216)"</f>
        <v>(0.0216)</v>
      </c>
    </row>
    <row r="66" spans="1:3" x14ac:dyDescent="0.25">
      <c r="A66" t="s">
        <v>33</v>
      </c>
      <c r="B66" s="1" t="str">
        <f>""</f>
        <v/>
      </c>
      <c r="C66" s="1" t="str">
        <f>"-0.0181"</f>
        <v>-0.0181</v>
      </c>
    </row>
    <row r="67" spans="1:3" x14ac:dyDescent="0.25">
      <c r="B67" s="1" t="str">
        <f>""</f>
        <v/>
      </c>
      <c r="C67" s="1" t="str">
        <f>"(0.0191)"</f>
        <v>(0.0191)</v>
      </c>
    </row>
    <row r="68" spans="1:3" x14ac:dyDescent="0.25">
      <c r="A68" t="s">
        <v>34</v>
      </c>
      <c r="B68" s="1" t="str">
        <f>""</f>
        <v/>
      </c>
      <c r="C68" s="1" t="str">
        <f>"-0.000359"</f>
        <v>-0.000359</v>
      </c>
    </row>
    <row r="69" spans="1:3" x14ac:dyDescent="0.25">
      <c r="B69" s="1" t="str">
        <f>""</f>
        <v/>
      </c>
      <c r="C69" s="1" t="str">
        <f>"(0.0205)"</f>
        <v>(0.0205)</v>
      </c>
    </row>
    <row r="70" spans="1:3" x14ac:dyDescent="0.25">
      <c r="A70" t="s">
        <v>35</v>
      </c>
      <c r="B70" s="1" t="str">
        <f>""</f>
        <v/>
      </c>
      <c r="C70" s="1" t="str">
        <f>"-0.00414"</f>
        <v>-0.00414</v>
      </c>
    </row>
    <row r="71" spans="1:3" x14ac:dyDescent="0.25">
      <c r="B71" s="1" t="str">
        <f>""</f>
        <v/>
      </c>
      <c r="C71" s="1" t="str">
        <f>"(0.0117)"</f>
        <v>(0.0117)</v>
      </c>
    </row>
    <row r="72" spans="1:3" x14ac:dyDescent="0.25">
      <c r="A72" t="s">
        <v>36</v>
      </c>
      <c r="B72" s="1" t="str">
        <f>""</f>
        <v/>
      </c>
      <c r="C72" s="1" t="str">
        <f>"-0.0173"</f>
        <v>-0.0173</v>
      </c>
    </row>
    <row r="73" spans="1:3" x14ac:dyDescent="0.25">
      <c r="B73" s="1" t="str">
        <f>""</f>
        <v/>
      </c>
      <c r="C73" s="1" t="str">
        <f>"(0.0237)"</f>
        <v>(0.0237)</v>
      </c>
    </row>
    <row r="74" spans="1:3" x14ac:dyDescent="0.25">
      <c r="A74" t="s">
        <v>37</v>
      </c>
      <c r="B74" s="1" t="str">
        <f>""</f>
        <v/>
      </c>
      <c r="C74" s="1" t="str">
        <f>"-0.0117"</f>
        <v>-0.0117</v>
      </c>
    </row>
    <row r="75" spans="1:3" x14ac:dyDescent="0.25">
      <c r="B75" s="1" t="str">
        <f>""</f>
        <v/>
      </c>
      <c r="C75" s="1" t="str">
        <f>"(0.0207)"</f>
        <v>(0.0207)</v>
      </c>
    </row>
    <row r="76" spans="1:3" x14ac:dyDescent="0.25">
      <c r="A76" t="s">
        <v>38</v>
      </c>
      <c r="B76" s="1" t="str">
        <f>""</f>
        <v/>
      </c>
      <c r="C76" s="1" t="str">
        <f>"0.0108"</f>
        <v>0.0108</v>
      </c>
    </row>
    <row r="77" spans="1:3" x14ac:dyDescent="0.25">
      <c r="B77" s="1" t="str">
        <f>""</f>
        <v/>
      </c>
      <c r="C77" s="1" t="str">
        <f>"(0.0139)"</f>
        <v>(0.0139)</v>
      </c>
    </row>
    <row r="78" spans="1:3" x14ac:dyDescent="0.25">
      <c r="A78" t="s">
        <v>39</v>
      </c>
      <c r="B78" s="1" t="str">
        <f>""</f>
        <v/>
      </c>
      <c r="C78" s="1" t="str">
        <f>"0.0564*"</f>
        <v>0.0564*</v>
      </c>
    </row>
    <row r="79" spans="1:3" x14ac:dyDescent="0.25">
      <c r="B79" s="1" t="str">
        <f>""</f>
        <v/>
      </c>
      <c r="C79" s="1" t="str">
        <f>"(0.0275)"</f>
        <v>(0.0275)</v>
      </c>
    </row>
    <row r="80" spans="1:3" x14ac:dyDescent="0.25">
      <c r="A80" t="s">
        <v>40</v>
      </c>
      <c r="B80" s="1" t="str">
        <f>""</f>
        <v/>
      </c>
      <c r="C80" s="1" t="str">
        <f>"-0.0135"</f>
        <v>-0.0135</v>
      </c>
    </row>
    <row r="81" spans="1:3" x14ac:dyDescent="0.25">
      <c r="B81" s="1" t="str">
        <f>""</f>
        <v/>
      </c>
      <c r="C81" s="1" t="str">
        <f>"(0.0123)"</f>
        <v>(0.0123)</v>
      </c>
    </row>
    <row r="82" spans="1:3" x14ac:dyDescent="0.25">
      <c r="A82" t="s">
        <v>41</v>
      </c>
      <c r="B82" s="1" t="str">
        <f>""</f>
        <v/>
      </c>
      <c r="C82" s="1" t="str">
        <f>"-0.00800"</f>
        <v>-0.00800</v>
      </c>
    </row>
    <row r="83" spans="1:3" x14ac:dyDescent="0.25">
      <c r="B83" s="1" t="str">
        <f>""</f>
        <v/>
      </c>
      <c r="C83" s="1" t="str">
        <f>"(0.0101)"</f>
        <v>(0.0101)</v>
      </c>
    </row>
    <row r="84" spans="1:3" x14ac:dyDescent="0.25">
      <c r="A84" t="s">
        <v>42</v>
      </c>
      <c r="B84" s="1" t="str">
        <f>""</f>
        <v/>
      </c>
      <c r="C84" s="1" t="str">
        <f>"0.0107"</f>
        <v>0.0107</v>
      </c>
    </row>
    <row r="85" spans="1:3" x14ac:dyDescent="0.25">
      <c r="B85" s="1" t="str">
        <f>""</f>
        <v/>
      </c>
      <c r="C85" s="1" t="str">
        <f>"(0.00970)"</f>
        <v>(0.00970)</v>
      </c>
    </row>
    <row r="86" spans="1:3" x14ac:dyDescent="0.25">
      <c r="A86" t="s">
        <v>43</v>
      </c>
      <c r="B86" s="1" t="str">
        <f>""</f>
        <v/>
      </c>
      <c r="C86" s="1" t="str">
        <f>"-0.00297"</f>
        <v>-0.00297</v>
      </c>
    </row>
    <row r="87" spans="1:3" x14ac:dyDescent="0.25">
      <c r="B87" s="1" t="str">
        <f>""</f>
        <v/>
      </c>
      <c r="C87" s="1" t="str">
        <f>"(0.0103)"</f>
        <v>(0.0103)</v>
      </c>
    </row>
    <row r="88" spans="1:3" x14ac:dyDescent="0.25">
      <c r="A88" t="s">
        <v>44</v>
      </c>
      <c r="B88" s="1" t="str">
        <f>""</f>
        <v/>
      </c>
      <c r="C88" s="1" t="str">
        <f>"-0.0207"</f>
        <v>-0.0207</v>
      </c>
    </row>
    <row r="89" spans="1:3" x14ac:dyDescent="0.25">
      <c r="B89" s="1" t="str">
        <f>""</f>
        <v/>
      </c>
      <c r="C89" s="1" t="str">
        <f>"(0.0133)"</f>
        <v>(0.0133)</v>
      </c>
    </row>
    <row r="90" spans="1:3" x14ac:dyDescent="0.25">
      <c r="A90" t="s">
        <v>45</v>
      </c>
      <c r="B90" s="1" t="str">
        <f>""</f>
        <v/>
      </c>
      <c r="C90" s="1" t="str">
        <f>"-0.00610"</f>
        <v>-0.00610</v>
      </c>
    </row>
    <row r="91" spans="1:3" x14ac:dyDescent="0.25">
      <c r="B91" s="1" t="str">
        <f>""</f>
        <v/>
      </c>
      <c r="C91" s="1" t="str">
        <f>"(0.0250)"</f>
        <v>(0.0250)</v>
      </c>
    </row>
    <row r="92" spans="1:3" x14ac:dyDescent="0.25">
      <c r="A92" t="s">
        <v>46</v>
      </c>
      <c r="B92" s="1" t="str">
        <f>""</f>
        <v/>
      </c>
      <c r="C92" s="1" t="str">
        <f>"-0.0344**"</f>
        <v>-0.0344**</v>
      </c>
    </row>
    <row r="93" spans="1:3" x14ac:dyDescent="0.25">
      <c r="B93" s="1" t="str">
        <f>""</f>
        <v/>
      </c>
      <c r="C93" s="1" t="str">
        <f>"(0.0105)"</f>
        <v>(0.0105)</v>
      </c>
    </row>
    <row r="94" spans="1:3" x14ac:dyDescent="0.25">
      <c r="A94" t="s">
        <v>47</v>
      </c>
      <c r="B94" s="1" t="str">
        <f>""</f>
        <v/>
      </c>
      <c r="C94" s="1" t="str">
        <f>"-0.0101"</f>
        <v>-0.0101</v>
      </c>
    </row>
    <row r="95" spans="1:3" x14ac:dyDescent="0.25">
      <c r="B95" s="1" t="str">
        <f>""</f>
        <v/>
      </c>
      <c r="C95" s="1" t="str">
        <f>"(0.0193)"</f>
        <v>(0.0193)</v>
      </c>
    </row>
    <row r="96" spans="1:3" x14ac:dyDescent="0.25">
      <c r="A96" t="s">
        <v>48</v>
      </c>
      <c r="B96" s="1" t="str">
        <f>""</f>
        <v/>
      </c>
      <c r="C96" s="1" t="str">
        <f>"0.0213"</f>
        <v>0.0213</v>
      </c>
    </row>
    <row r="97" spans="1:3" x14ac:dyDescent="0.25">
      <c r="B97" s="1" t="str">
        <f>""</f>
        <v/>
      </c>
      <c r="C97" s="1" t="str">
        <f>"(0.0128)"</f>
        <v>(0.0128)</v>
      </c>
    </row>
    <row r="98" spans="1:3" x14ac:dyDescent="0.25">
      <c r="A98" t="s">
        <v>49</v>
      </c>
      <c r="B98" s="1" t="str">
        <f>""</f>
        <v/>
      </c>
      <c r="C98" s="1" t="str">
        <f>"-0.0137"</f>
        <v>-0.0137</v>
      </c>
    </row>
    <row r="99" spans="1:3" x14ac:dyDescent="0.25">
      <c r="B99" s="1" t="str">
        <f>""</f>
        <v/>
      </c>
      <c r="C99" s="1" t="str">
        <f>"(0.0162)"</f>
        <v>(0.0162)</v>
      </c>
    </row>
    <row r="100" spans="1:3" x14ac:dyDescent="0.25">
      <c r="A100" t="s">
        <v>50</v>
      </c>
      <c r="B100" s="1" t="str">
        <f>""</f>
        <v/>
      </c>
      <c r="C100" s="1" t="str">
        <f>"-0.00548"</f>
        <v>-0.00548</v>
      </c>
    </row>
    <row r="101" spans="1:3" x14ac:dyDescent="0.25">
      <c r="B101" s="1" t="str">
        <f>""</f>
        <v/>
      </c>
      <c r="C101" s="1" t="str">
        <f>"(0.0338)"</f>
        <v>(0.0338)</v>
      </c>
    </row>
    <row r="102" spans="1:3" x14ac:dyDescent="0.25">
      <c r="A102" t="s">
        <v>51</v>
      </c>
      <c r="B102" s="1" t="str">
        <f>""</f>
        <v/>
      </c>
      <c r="C102" s="1" t="str">
        <f>"0.0505***"</f>
        <v>0.0505***</v>
      </c>
    </row>
    <row r="103" spans="1:3" x14ac:dyDescent="0.25">
      <c r="B103" s="1" t="str">
        <f>""</f>
        <v/>
      </c>
      <c r="C103" s="1" t="str">
        <f>"(0.0128)"</f>
        <v>(0.0128)</v>
      </c>
    </row>
    <row r="104" spans="1:3" x14ac:dyDescent="0.25">
      <c r="A104" t="s">
        <v>52</v>
      </c>
      <c r="B104" s="1" t="str">
        <f>""</f>
        <v/>
      </c>
      <c r="C104" s="1" t="str">
        <f>"-0.0277*"</f>
        <v>-0.0277*</v>
      </c>
    </row>
    <row r="105" spans="1:3" x14ac:dyDescent="0.25">
      <c r="B105" s="1" t="str">
        <f>""</f>
        <v/>
      </c>
      <c r="C105" s="1" t="str">
        <f>"(0.0133)"</f>
        <v>(0.0133)</v>
      </c>
    </row>
    <row r="106" spans="1:3" x14ac:dyDescent="0.25">
      <c r="A106" t="s">
        <v>53</v>
      </c>
      <c r="B106" s="1" t="str">
        <f>""</f>
        <v/>
      </c>
      <c r="C106" s="1" t="str">
        <f>"-0.0185"</f>
        <v>-0.0185</v>
      </c>
    </row>
    <row r="107" spans="1:3" x14ac:dyDescent="0.25">
      <c r="B107" s="1" t="str">
        <f>""</f>
        <v/>
      </c>
      <c r="C107" s="1" t="str">
        <f>"(0.0161)"</f>
        <v>(0.0161)</v>
      </c>
    </row>
    <row r="108" spans="1:3" x14ac:dyDescent="0.25">
      <c r="A108" t="s">
        <v>54</v>
      </c>
      <c r="B108" s="1" t="str">
        <f>""</f>
        <v/>
      </c>
      <c r="C108" s="1" t="str">
        <f>"-0.00703"</f>
        <v>-0.00703</v>
      </c>
    </row>
    <row r="109" spans="1:3" x14ac:dyDescent="0.25">
      <c r="B109" s="1" t="str">
        <f>""</f>
        <v/>
      </c>
      <c r="C109" s="1" t="str">
        <f>"(0.0256)"</f>
        <v>(0.0256)</v>
      </c>
    </row>
    <row r="110" spans="1:3" x14ac:dyDescent="0.25">
      <c r="A110" t="s">
        <v>55</v>
      </c>
      <c r="B110" s="1" t="str">
        <f>""</f>
        <v/>
      </c>
      <c r="C110" s="1" t="str">
        <f>"0.0169"</f>
        <v>0.0169</v>
      </c>
    </row>
    <row r="111" spans="1:3" x14ac:dyDescent="0.25">
      <c r="B111" s="1" t="str">
        <f>""</f>
        <v/>
      </c>
      <c r="C111" s="1" t="str">
        <f>"(0.0188)"</f>
        <v>(0.0188)</v>
      </c>
    </row>
    <row r="112" spans="1:3" x14ac:dyDescent="0.25">
      <c r="A112" t="s">
        <v>56</v>
      </c>
      <c r="B112" s="1" t="str">
        <f>""</f>
        <v/>
      </c>
      <c r="C112" s="1" t="str">
        <f>"-0.0426*"</f>
        <v>-0.0426*</v>
      </c>
    </row>
    <row r="113" spans="1:3" x14ac:dyDescent="0.25">
      <c r="B113" s="1" t="str">
        <f>""</f>
        <v/>
      </c>
      <c r="C113" s="1" t="str">
        <f>"(0.0180)"</f>
        <v>(0.0180)</v>
      </c>
    </row>
    <row r="114" spans="1:3" x14ac:dyDescent="0.25">
      <c r="A114" t="s">
        <v>57</v>
      </c>
      <c r="B114" s="1" t="str">
        <f>""</f>
        <v/>
      </c>
      <c r="C114" s="1" t="str">
        <f>"0.0256"</f>
        <v>0.0256</v>
      </c>
    </row>
    <row r="115" spans="1:3" x14ac:dyDescent="0.25">
      <c r="B115" s="1" t="str">
        <f>""</f>
        <v/>
      </c>
      <c r="C115" s="1" t="str">
        <f>"(0.0272)"</f>
        <v>(0.0272)</v>
      </c>
    </row>
    <row r="116" spans="1:3" x14ac:dyDescent="0.25">
      <c r="A116" t="s">
        <v>58</v>
      </c>
      <c r="B116" s="1" t="str">
        <f>""</f>
        <v/>
      </c>
      <c r="C116" s="1" t="str">
        <f>"-0.00922"</f>
        <v>-0.00922</v>
      </c>
    </row>
    <row r="117" spans="1:3" x14ac:dyDescent="0.25">
      <c r="B117" s="1" t="str">
        <f>""</f>
        <v/>
      </c>
      <c r="C117" s="1" t="str">
        <f>"(0.0141)"</f>
        <v>(0.0141)</v>
      </c>
    </row>
    <row r="118" spans="1:3" x14ac:dyDescent="0.25">
      <c r="A118" t="s">
        <v>59</v>
      </c>
      <c r="B118" s="1" t="str">
        <f>""</f>
        <v/>
      </c>
      <c r="C118" s="1" t="str">
        <f>"0.0912*"</f>
        <v>0.0912*</v>
      </c>
    </row>
    <row r="119" spans="1:3" x14ac:dyDescent="0.25">
      <c r="B119" s="1" t="str">
        <f>""</f>
        <v/>
      </c>
      <c r="C119" s="1" t="str">
        <f>"(0.0374)"</f>
        <v>(0.0374)</v>
      </c>
    </row>
    <row r="120" spans="1:3" x14ac:dyDescent="0.25">
      <c r="A120" t="s">
        <v>60</v>
      </c>
      <c r="B120" s="1" t="str">
        <f>""</f>
        <v/>
      </c>
      <c r="C120" s="1" t="str">
        <f>"0.0330"</f>
        <v>0.0330</v>
      </c>
    </row>
    <row r="121" spans="1:3" x14ac:dyDescent="0.25">
      <c r="B121" s="1" t="str">
        <f>""</f>
        <v/>
      </c>
      <c r="C121" s="1" t="str">
        <f>"(0.0273)"</f>
        <v>(0.0273)</v>
      </c>
    </row>
    <row r="122" spans="1:3" x14ac:dyDescent="0.25">
      <c r="A122" t="s">
        <v>61</v>
      </c>
      <c r="B122" s="1" t="str">
        <f>""</f>
        <v/>
      </c>
      <c r="C122" s="1" t="str">
        <f>"0.0507"</f>
        <v>0.0507</v>
      </c>
    </row>
    <row r="123" spans="1:3" x14ac:dyDescent="0.25">
      <c r="B123" s="1" t="str">
        <f>""</f>
        <v/>
      </c>
      <c r="C123" s="1" t="str">
        <f>"(0.0339)"</f>
        <v>(0.0339)</v>
      </c>
    </row>
    <row r="124" spans="1:3" x14ac:dyDescent="0.25">
      <c r="A124" t="s">
        <v>62</v>
      </c>
      <c r="B124" s="1" t="str">
        <f>""</f>
        <v/>
      </c>
      <c r="C124" s="1" t="str">
        <f>"-0.0266*"</f>
        <v>-0.0266*</v>
      </c>
    </row>
    <row r="125" spans="1:3" x14ac:dyDescent="0.25">
      <c r="B125" s="1" t="str">
        <f>""</f>
        <v/>
      </c>
      <c r="C125" s="1" t="str">
        <f>"(0.0131)"</f>
        <v>(0.0131)</v>
      </c>
    </row>
    <row r="126" spans="1:3" x14ac:dyDescent="0.25">
      <c r="A126" t="s">
        <v>63</v>
      </c>
      <c r="B126" s="1" t="str">
        <f>""</f>
        <v/>
      </c>
      <c r="C126" s="1" t="str">
        <f>"-0.0574**"</f>
        <v>-0.0574**</v>
      </c>
    </row>
    <row r="127" spans="1:3" x14ac:dyDescent="0.25">
      <c r="B127" s="1" t="str">
        <f>""</f>
        <v/>
      </c>
      <c r="C127" s="1" t="str">
        <f>"(0.0200)"</f>
        <v>(0.0200)</v>
      </c>
    </row>
    <row r="128" spans="1:3" x14ac:dyDescent="0.25">
      <c r="A128" t="s">
        <v>64</v>
      </c>
      <c r="B128" s="1" t="str">
        <f>""</f>
        <v/>
      </c>
      <c r="C128" s="1" t="str">
        <f>"-0.0323"</f>
        <v>-0.0323</v>
      </c>
    </row>
    <row r="129" spans="1:3" x14ac:dyDescent="0.25">
      <c r="B129" s="1" t="str">
        <f>""</f>
        <v/>
      </c>
      <c r="C129" s="1" t="str">
        <f>"(0.0461)"</f>
        <v>(0.0461)</v>
      </c>
    </row>
    <row r="130" spans="1:3" x14ac:dyDescent="0.25">
      <c r="A130" t="s">
        <v>65</v>
      </c>
      <c r="B130" s="1" t="str">
        <f>""</f>
        <v/>
      </c>
      <c r="C130" s="1" t="str">
        <f>"-0.0473**"</f>
        <v>-0.0473**</v>
      </c>
    </row>
    <row r="131" spans="1:3" x14ac:dyDescent="0.25">
      <c r="B131" s="1" t="str">
        <f>""</f>
        <v/>
      </c>
      <c r="C131" s="1" t="str">
        <f>"(0.0145)"</f>
        <v>(0.0145)</v>
      </c>
    </row>
    <row r="132" spans="1:3" x14ac:dyDescent="0.25">
      <c r="A132" t="s">
        <v>66</v>
      </c>
      <c r="B132" s="1" t="str">
        <f>""</f>
        <v/>
      </c>
      <c r="C132" s="1" t="str">
        <f>"-0.00629"</f>
        <v>-0.00629</v>
      </c>
    </row>
    <row r="133" spans="1:3" x14ac:dyDescent="0.25">
      <c r="B133" s="1" t="str">
        <f>""</f>
        <v/>
      </c>
      <c r="C133" s="1" t="str">
        <f>"(0.0256)"</f>
        <v>(0.0256)</v>
      </c>
    </row>
    <row r="134" spans="1:3" x14ac:dyDescent="0.25">
      <c r="A134" t="s">
        <v>67</v>
      </c>
      <c r="B134" s="1" t="str">
        <f>""</f>
        <v/>
      </c>
      <c r="C134" s="1" t="str">
        <f>"-0.00690"</f>
        <v>-0.00690</v>
      </c>
    </row>
    <row r="135" spans="1:3" x14ac:dyDescent="0.25">
      <c r="B135" s="1" t="str">
        <f>""</f>
        <v/>
      </c>
      <c r="C135" s="1" t="str">
        <f>"(0.0200)"</f>
        <v>(0.0200)</v>
      </c>
    </row>
    <row r="136" spans="1:3" x14ac:dyDescent="0.25">
      <c r="A136" t="s">
        <v>68</v>
      </c>
      <c r="B136" s="1" t="str">
        <f>""</f>
        <v/>
      </c>
      <c r="C136" s="1" t="str">
        <f>"0.0626***"</f>
        <v>0.0626***</v>
      </c>
    </row>
    <row r="137" spans="1:3" x14ac:dyDescent="0.25">
      <c r="B137" s="1" t="str">
        <f>""</f>
        <v/>
      </c>
      <c r="C137" s="1" t="str">
        <f>"(0.0154)"</f>
        <v>(0.0154)</v>
      </c>
    </row>
    <row r="138" spans="1:3" x14ac:dyDescent="0.25">
      <c r="A138" t="s">
        <v>69</v>
      </c>
      <c r="B138" s="1" t="str">
        <f>""</f>
        <v/>
      </c>
      <c r="C138" s="1" t="str">
        <f>"0.0153"</f>
        <v>0.0153</v>
      </c>
    </row>
    <row r="139" spans="1:3" x14ac:dyDescent="0.25">
      <c r="B139" s="1" t="str">
        <f>""</f>
        <v/>
      </c>
      <c r="C139" s="1" t="str">
        <f>"(0.0179)"</f>
        <v>(0.0179)</v>
      </c>
    </row>
    <row r="140" spans="1:3" x14ac:dyDescent="0.25">
      <c r="A140" t="s">
        <v>70</v>
      </c>
      <c r="B140" s="1" t="str">
        <f>""</f>
        <v/>
      </c>
      <c r="C140" s="1" t="str">
        <f>"0.0314"</f>
        <v>0.0314</v>
      </c>
    </row>
    <row r="141" spans="1:3" x14ac:dyDescent="0.25">
      <c r="B141" s="1" t="str">
        <f>""</f>
        <v/>
      </c>
      <c r="C141" s="1" t="str">
        <f>"(0.0167)"</f>
        <v>(0.0167)</v>
      </c>
    </row>
    <row r="142" spans="1:3" x14ac:dyDescent="0.25">
      <c r="A142" t="s">
        <v>71</v>
      </c>
      <c r="B142" s="1" t="str">
        <f>""</f>
        <v/>
      </c>
      <c r="C142" s="1" t="str">
        <f>"-0.00744"</f>
        <v>-0.00744</v>
      </c>
    </row>
    <row r="143" spans="1:3" x14ac:dyDescent="0.25">
      <c r="A143" t="str">
        <f>""</f>
        <v/>
      </c>
      <c r="B143" s="1" t="str">
        <f>""</f>
        <v/>
      </c>
      <c r="C143" s="1" t="str">
        <f>"(0.0127)"</f>
        <v>(0.0127)</v>
      </c>
    </row>
    <row r="144" spans="1:3" x14ac:dyDescent="0.25">
      <c r="A144" t="s">
        <v>72</v>
      </c>
      <c r="B144" s="1" t="str">
        <f>""</f>
        <v/>
      </c>
      <c r="C144" s="1" t="str">
        <f>"0.0110"</f>
        <v>0.0110</v>
      </c>
    </row>
    <row r="145" spans="1:3" x14ac:dyDescent="0.25">
      <c r="A145" t="str">
        <f>""</f>
        <v/>
      </c>
      <c r="B145" s="1" t="str">
        <f>""</f>
        <v/>
      </c>
      <c r="C145" s="1" t="str">
        <f>"(0.0114)"</f>
        <v>(0.0114)</v>
      </c>
    </row>
    <row r="146" spans="1:3" x14ac:dyDescent="0.25">
      <c r="A146" t="s">
        <v>73</v>
      </c>
      <c r="B146" s="1" t="str">
        <f>""</f>
        <v/>
      </c>
      <c r="C146" s="1" t="str">
        <f>"-0.0341"</f>
        <v>-0.0341</v>
      </c>
    </row>
    <row r="147" spans="1:3" x14ac:dyDescent="0.25">
      <c r="A147" t="str">
        <f>""</f>
        <v/>
      </c>
      <c r="B147" s="1" t="str">
        <f>""</f>
        <v/>
      </c>
      <c r="C147" s="1" t="str">
        <f>"(0.0200)"</f>
        <v>(0.0200)</v>
      </c>
    </row>
    <row r="148" spans="1:3" x14ac:dyDescent="0.25">
      <c r="A148" t="s">
        <v>74</v>
      </c>
      <c r="B148" s="1" t="str">
        <f>""</f>
        <v/>
      </c>
      <c r="C148" s="1" t="str">
        <f>"0.0577*"</f>
        <v>0.0577*</v>
      </c>
    </row>
    <row r="149" spans="1:3" x14ac:dyDescent="0.25">
      <c r="A149" t="str">
        <f>""</f>
        <v/>
      </c>
      <c r="B149" s="1" t="str">
        <f>""</f>
        <v/>
      </c>
      <c r="C149" s="1" t="str">
        <f>"(0.0276)"</f>
        <v>(0.0276)</v>
      </c>
    </row>
    <row r="150" spans="1:3" x14ac:dyDescent="0.25">
      <c r="A150" t="s">
        <v>75</v>
      </c>
      <c r="B150" s="1" t="str">
        <f>""</f>
        <v/>
      </c>
      <c r="C150" s="1" t="str">
        <f>"-0.0123"</f>
        <v>-0.0123</v>
      </c>
    </row>
    <row r="151" spans="1:3" x14ac:dyDescent="0.25">
      <c r="A151" t="str">
        <f>""</f>
        <v/>
      </c>
      <c r="B151" s="1" t="str">
        <f>""</f>
        <v/>
      </c>
      <c r="C151" s="1" t="str">
        <f>"(0.0271)"</f>
        <v>(0.0271)</v>
      </c>
    </row>
    <row r="152" spans="1:3" x14ac:dyDescent="0.25">
      <c r="A152" t="s">
        <v>76</v>
      </c>
      <c r="B152" s="1" t="str">
        <f>""</f>
        <v/>
      </c>
      <c r="C152" s="1" t="str">
        <f>"-0.0110"</f>
        <v>-0.0110</v>
      </c>
    </row>
    <row r="153" spans="1:3" x14ac:dyDescent="0.25">
      <c r="A153" t="str">
        <f>""</f>
        <v/>
      </c>
      <c r="B153" s="1" t="str">
        <f>""</f>
        <v/>
      </c>
      <c r="C153" s="1" t="str">
        <f>"(0.0111)"</f>
        <v>(0.0111)</v>
      </c>
    </row>
    <row r="154" spans="1:3" x14ac:dyDescent="0.25">
      <c r="A154" t="s">
        <v>77</v>
      </c>
      <c r="B154" s="1" t="str">
        <f>""</f>
        <v/>
      </c>
      <c r="C154" s="1" t="str">
        <f>"-0.00709"</f>
        <v>-0.00709</v>
      </c>
    </row>
    <row r="155" spans="1:3" x14ac:dyDescent="0.25">
      <c r="A155" t="str">
        <f>""</f>
        <v/>
      </c>
      <c r="B155" s="1" t="str">
        <f>""</f>
        <v/>
      </c>
      <c r="C155" s="1" t="str">
        <f>"(0.0115)"</f>
        <v>(0.0115)</v>
      </c>
    </row>
    <row r="156" spans="1:3" x14ac:dyDescent="0.25">
      <c r="A156" t="s">
        <v>78</v>
      </c>
      <c r="B156" s="1" t="str">
        <f>""</f>
        <v/>
      </c>
      <c r="C156" s="1" t="str">
        <f>"0.0289"</f>
        <v>0.0289</v>
      </c>
    </row>
    <row r="157" spans="1:3" x14ac:dyDescent="0.25">
      <c r="A157" t="str">
        <f>""</f>
        <v/>
      </c>
      <c r="B157" s="1" t="str">
        <f>""</f>
        <v/>
      </c>
      <c r="C157" s="1" t="str">
        <f>"(0.0213)"</f>
        <v>(0.0213)</v>
      </c>
    </row>
    <row r="158" spans="1:3" x14ac:dyDescent="0.25">
      <c r="A158" t="s">
        <v>79</v>
      </c>
      <c r="B158" s="1" t="str">
        <f>""</f>
        <v/>
      </c>
      <c r="C158" s="1" t="str">
        <f>"-0.0137"</f>
        <v>-0.0137</v>
      </c>
    </row>
    <row r="159" spans="1:3" x14ac:dyDescent="0.25">
      <c r="A159" t="str">
        <f>""</f>
        <v/>
      </c>
      <c r="B159" s="1" t="str">
        <f>""</f>
        <v/>
      </c>
      <c r="C159" s="1" t="str">
        <f>"(0.0228)"</f>
        <v>(0.0228)</v>
      </c>
    </row>
    <row r="160" spans="1:3" x14ac:dyDescent="0.25">
      <c r="A160" t="s">
        <v>80</v>
      </c>
      <c r="B160" s="1" t="str">
        <f>""</f>
        <v/>
      </c>
      <c r="C160" s="1" t="str">
        <f>"-0.0225"</f>
        <v>-0.0225</v>
      </c>
    </row>
    <row r="161" spans="1:3" x14ac:dyDescent="0.25">
      <c r="A161" t="str">
        <f>""</f>
        <v/>
      </c>
      <c r="B161" s="1" t="str">
        <f>""</f>
        <v/>
      </c>
      <c r="C161" s="1" t="str">
        <f>"(0.0233)"</f>
        <v>(0.0233)</v>
      </c>
    </row>
    <row r="162" spans="1:3" x14ac:dyDescent="0.25">
      <c r="A162" t="s">
        <v>81</v>
      </c>
      <c r="B162" s="1" t="str">
        <f>""</f>
        <v/>
      </c>
      <c r="C162" s="1" t="str">
        <f>"-0.00740"</f>
        <v>-0.00740</v>
      </c>
    </row>
    <row r="163" spans="1:3" x14ac:dyDescent="0.25">
      <c r="A163" t="str">
        <f>""</f>
        <v/>
      </c>
      <c r="B163" s="1" t="str">
        <f>""</f>
        <v/>
      </c>
      <c r="C163" s="1" t="str">
        <f>"(0.0110)"</f>
        <v>(0.0110)</v>
      </c>
    </row>
    <row r="164" spans="1:3" x14ac:dyDescent="0.25">
      <c r="A164" t="s">
        <v>82</v>
      </c>
      <c r="B164" s="1" t="str">
        <f>""</f>
        <v/>
      </c>
      <c r="C164" s="1" t="str">
        <f>"0.00807"</f>
        <v>0.00807</v>
      </c>
    </row>
    <row r="165" spans="1:3" x14ac:dyDescent="0.25">
      <c r="A165" t="str">
        <f>""</f>
        <v/>
      </c>
      <c r="B165" s="1" t="str">
        <f>""</f>
        <v/>
      </c>
      <c r="C165" s="1" t="str">
        <f>"(0.0110)"</f>
        <v>(0.0110)</v>
      </c>
    </row>
    <row r="166" spans="1:3" x14ac:dyDescent="0.25">
      <c r="A166" t="s">
        <v>83</v>
      </c>
      <c r="B166" s="1" t="str">
        <f>""</f>
        <v/>
      </c>
      <c r="C166" s="1" t="str">
        <f>"-0.0156"</f>
        <v>-0.0156</v>
      </c>
    </row>
    <row r="167" spans="1:3" x14ac:dyDescent="0.25">
      <c r="A167" t="str">
        <f>""</f>
        <v/>
      </c>
      <c r="B167" s="1" t="str">
        <f>""</f>
        <v/>
      </c>
      <c r="C167" s="1" t="str">
        <f>"(0.0137)"</f>
        <v>(0.0137)</v>
      </c>
    </row>
    <row r="168" spans="1:3" x14ac:dyDescent="0.25">
      <c r="A168" t="s">
        <v>84</v>
      </c>
      <c r="B168" s="1" t="str">
        <f>""</f>
        <v/>
      </c>
      <c r="C168" s="1" t="str">
        <f>"-0.0229"</f>
        <v>-0.0229</v>
      </c>
    </row>
    <row r="169" spans="1:3" x14ac:dyDescent="0.25">
      <c r="A169" t="str">
        <f>""</f>
        <v/>
      </c>
      <c r="B169" s="1" t="str">
        <f>""</f>
        <v/>
      </c>
      <c r="C169" s="1" t="str">
        <f>"(0.0247)"</f>
        <v>(0.0247)</v>
      </c>
    </row>
    <row r="170" spans="1:3" x14ac:dyDescent="0.25">
      <c r="A170" t="s">
        <v>85</v>
      </c>
      <c r="B170" s="1" t="str">
        <f>""</f>
        <v/>
      </c>
      <c r="C170" s="1" t="str">
        <f>"-0.0327"</f>
        <v>-0.0327</v>
      </c>
    </row>
    <row r="171" spans="1:3" x14ac:dyDescent="0.25">
      <c r="A171" t="str">
        <f>""</f>
        <v/>
      </c>
      <c r="B171" s="1" t="str">
        <f>""</f>
        <v/>
      </c>
      <c r="C171" s="1" t="str">
        <f>"(0.0182)"</f>
        <v>(0.0182)</v>
      </c>
    </row>
    <row r="172" spans="1:3" x14ac:dyDescent="0.25">
      <c r="A172" t="s">
        <v>86</v>
      </c>
      <c r="B172" s="1" t="str">
        <f>""</f>
        <v/>
      </c>
      <c r="C172" s="1" t="str">
        <f>"-0.00554"</f>
        <v>-0.00554</v>
      </c>
    </row>
    <row r="173" spans="1:3" x14ac:dyDescent="0.25">
      <c r="A173" t="str">
        <f>""</f>
        <v/>
      </c>
      <c r="B173" s="1" t="str">
        <f>""</f>
        <v/>
      </c>
      <c r="C173" s="1" t="str">
        <f>"(0.0113)"</f>
        <v>(0.0113)</v>
      </c>
    </row>
    <row r="174" spans="1:3" x14ac:dyDescent="0.25">
      <c r="A174" t="s">
        <v>87</v>
      </c>
      <c r="B174" s="1" t="str">
        <f>""</f>
        <v/>
      </c>
      <c r="C174" s="1" t="str">
        <f>"0.0384"</f>
        <v>0.0384</v>
      </c>
    </row>
    <row r="175" spans="1:3" x14ac:dyDescent="0.25">
      <c r="A175" t="str">
        <f>""</f>
        <v/>
      </c>
      <c r="B175" s="1" t="str">
        <f>""</f>
        <v/>
      </c>
      <c r="C175" s="1" t="str">
        <f>"(0.0420)"</f>
        <v>(0.0420)</v>
      </c>
    </row>
    <row r="176" spans="1:3" x14ac:dyDescent="0.25">
      <c r="A176" t="s">
        <v>88</v>
      </c>
      <c r="B176" s="1" t="str">
        <f>""</f>
        <v/>
      </c>
      <c r="C176" s="1" t="str">
        <f>"0.0364"</f>
        <v>0.0364</v>
      </c>
    </row>
    <row r="177" spans="1:3" x14ac:dyDescent="0.25">
      <c r="A177" t="str">
        <f>""</f>
        <v/>
      </c>
      <c r="B177" s="1" t="str">
        <f>""</f>
        <v/>
      </c>
      <c r="C177" s="1" t="str">
        <f>"(0.0341)"</f>
        <v>(0.0341)</v>
      </c>
    </row>
    <row r="178" spans="1:3" x14ac:dyDescent="0.25">
      <c r="A178" t="s">
        <v>89</v>
      </c>
      <c r="B178" s="1" t="str">
        <f>""</f>
        <v/>
      </c>
      <c r="C178" s="1" t="str">
        <f>"0.00142"</f>
        <v>0.00142</v>
      </c>
    </row>
    <row r="179" spans="1:3" x14ac:dyDescent="0.25">
      <c r="A179" t="str">
        <f>""</f>
        <v/>
      </c>
      <c r="B179" s="1" t="str">
        <f>""</f>
        <v/>
      </c>
      <c r="C179" s="1" t="str">
        <f>"(0.0257)"</f>
        <v>(0.0257)</v>
      </c>
    </row>
    <row r="180" spans="1:3" x14ac:dyDescent="0.25">
      <c r="A180" t="s">
        <v>90</v>
      </c>
      <c r="B180" s="1" t="str">
        <f>""</f>
        <v/>
      </c>
      <c r="C180" s="1" t="str">
        <f>"-0.0124"</f>
        <v>-0.0124</v>
      </c>
    </row>
    <row r="181" spans="1:3" x14ac:dyDescent="0.25">
      <c r="A181" t="str">
        <f>""</f>
        <v/>
      </c>
      <c r="B181" s="1" t="str">
        <f>""</f>
        <v/>
      </c>
      <c r="C181" s="1" t="str">
        <f>"(0.0243)"</f>
        <v>(0.0243)</v>
      </c>
    </row>
    <row r="182" spans="1:3" x14ac:dyDescent="0.25">
      <c r="A182" t="s">
        <v>91</v>
      </c>
      <c r="B182" s="1" t="str">
        <f>""</f>
        <v/>
      </c>
      <c r="C182" s="1" t="str">
        <f>"-0.0211"</f>
        <v>-0.0211</v>
      </c>
    </row>
    <row r="183" spans="1:3" x14ac:dyDescent="0.25">
      <c r="A183" t="str">
        <f>""</f>
        <v/>
      </c>
      <c r="B183" s="1" t="str">
        <f>""</f>
        <v/>
      </c>
      <c r="C183" s="1" t="str">
        <f>"(0.0691)"</f>
        <v>(0.0691)</v>
      </c>
    </row>
    <row r="184" spans="1:3" x14ac:dyDescent="0.25">
      <c r="A184" t="s">
        <v>92</v>
      </c>
      <c r="B184" s="1" t="str">
        <f>""</f>
        <v/>
      </c>
      <c r="C184" s="1" t="str">
        <f>"0.110**"</f>
        <v>0.110**</v>
      </c>
    </row>
    <row r="185" spans="1:3" x14ac:dyDescent="0.25">
      <c r="A185" t="str">
        <f>""</f>
        <v/>
      </c>
      <c r="B185" s="1" t="str">
        <f>""</f>
        <v/>
      </c>
      <c r="C185" s="1" t="str">
        <f>"(0.0402)"</f>
        <v>(0.0402)</v>
      </c>
    </row>
    <row r="186" spans="1:3" x14ac:dyDescent="0.25">
      <c r="A186" t="s">
        <v>93</v>
      </c>
      <c r="B186" s="1" t="str">
        <f>""</f>
        <v/>
      </c>
      <c r="C186" s="1" t="str">
        <f>"0.0332"</f>
        <v>0.0332</v>
      </c>
    </row>
    <row r="187" spans="1:3" x14ac:dyDescent="0.25">
      <c r="A187" t="str">
        <f>""</f>
        <v/>
      </c>
      <c r="B187" s="1" t="str">
        <f>""</f>
        <v/>
      </c>
      <c r="C187" s="1" t="str">
        <f>"(0.0404)"</f>
        <v>(0.0404)</v>
      </c>
    </row>
    <row r="188" spans="1:3" x14ac:dyDescent="0.25">
      <c r="A188" t="s">
        <v>94</v>
      </c>
      <c r="B188" s="1" t="str">
        <f>""</f>
        <v/>
      </c>
      <c r="C188" s="1" t="str">
        <f>"0.0256"</f>
        <v>0.0256</v>
      </c>
    </row>
    <row r="189" spans="1:3" x14ac:dyDescent="0.25">
      <c r="A189" t="str">
        <f>""</f>
        <v/>
      </c>
      <c r="B189" s="1" t="str">
        <f>""</f>
        <v/>
      </c>
      <c r="C189" s="1" t="str">
        <f>"(0.0190)"</f>
        <v>(0.0190)</v>
      </c>
    </row>
    <row r="190" spans="1:3" x14ac:dyDescent="0.25">
      <c r="A190" t="s">
        <v>95</v>
      </c>
      <c r="B190" s="1" t="str">
        <f>""</f>
        <v/>
      </c>
      <c r="C190" s="1" t="str">
        <f>"-0.00229"</f>
        <v>-0.00229</v>
      </c>
    </row>
    <row r="191" spans="1:3" x14ac:dyDescent="0.25">
      <c r="A191" t="str">
        <f>""</f>
        <v/>
      </c>
      <c r="B191" s="1" t="str">
        <f>""</f>
        <v/>
      </c>
      <c r="C191" s="1" t="str">
        <f>"(0.0143)"</f>
        <v>(0.0143)</v>
      </c>
    </row>
    <row r="192" spans="1:3" x14ac:dyDescent="0.25">
      <c r="A192" t="s">
        <v>96</v>
      </c>
      <c r="B192" s="1" t="str">
        <f>""</f>
        <v/>
      </c>
      <c r="C192" s="1" t="str">
        <f>"-0.0150"</f>
        <v>-0.0150</v>
      </c>
    </row>
    <row r="193" spans="1:3" x14ac:dyDescent="0.25">
      <c r="A193" t="str">
        <f>""</f>
        <v/>
      </c>
      <c r="B193" s="1" t="str">
        <f>""</f>
        <v/>
      </c>
      <c r="C193" s="1" t="str">
        <f>"(0.0122)"</f>
        <v>(0.0122)</v>
      </c>
    </row>
    <row r="194" spans="1:3" x14ac:dyDescent="0.25">
      <c r="A194" t="s">
        <v>97</v>
      </c>
      <c r="B194" s="1" t="str">
        <f>""</f>
        <v/>
      </c>
      <c r="C194" s="1" t="str">
        <f>"0.00620"</f>
        <v>0.00620</v>
      </c>
    </row>
    <row r="195" spans="1:3" x14ac:dyDescent="0.25">
      <c r="A195" t="str">
        <f>""</f>
        <v/>
      </c>
      <c r="B195" s="1" t="str">
        <f>""</f>
        <v/>
      </c>
      <c r="C195" s="1" t="str">
        <f>"(0.0191)"</f>
        <v>(0.0191)</v>
      </c>
    </row>
    <row r="196" spans="1:3" x14ac:dyDescent="0.25">
      <c r="A196" t="s">
        <v>98</v>
      </c>
      <c r="B196" s="1" t="str">
        <f>""</f>
        <v/>
      </c>
      <c r="C196" s="1" t="str">
        <f>"-0.0241"</f>
        <v>-0.0241</v>
      </c>
    </row>
    <row r="197" spans="1:3" x14ac:dyDescent="0.25">
      <c r="A197" t="str">
        <f>""</f>
        <v/>
      </c>
      <c r="B197" s="1" t="str">
        <f>""</f>
        <v/>
      </c>
      <c r="C197" s="1" t="str">
        <f>"(0.0126)"</f>
        <v>(0.0126)</v>
      </c>
    </row>
    <row r="198" spans="1:3" x14ac:dyDescent="0.25">
      <c r="A198" t="s">
        <v>99</v>
      </c>
      <c r="B198" s="1" t="str">
        <f>""</f>
        <v/>
      </c>
      <c r="C198" s="1" t="str">
        <f>"-0.0487*"</f>
        <v>-0.0487*</v>
      </c>
    </row>
    <row r="199" spans="1:3" x14ac:dyDescent="0.25">
      <c r="A199" t="str">
        <f>""</f>
        <v/>
      </c>
      <c r="B199" s="1" t="str">
        <f>""</f>
        <v/>
      </c>
      <c r="C199" s="1" t="str">
        <f>"(0.0229)"</f>
        <v>(0.0229)</v>
      </c>
    </row>
    <row r="200" spans="1:3" x14ac:dyDescent="0.25">
      <c r="A200" t="s">
        <v>100</v>
      </c>
      <c r="B200" s="1" t="str">
        <f>""</f>
        <v/>
      </c>
      <c r="C200" s="1" t="str">
        <f>"-0.0115"</f>
        <v>-0.0115</v>
      </c>
    </row>
    <row r="201" spans="1:3" x14ac:dyDescent="0.25">
      <c r="A201" t="str">
        <f>""</f>
        <v/>
      </c>
      <c r="B201" s="1" t="str">
        <f>""</f>
        <v/>
      </c>
      <c r="C201" s="1" t="str">
        <f>"(0.0206)"</f>
        <v>(0.0206)</v>
      </c>
    </row>
    <row r="202" spans="1:3" x14ac:dyDescent="0.25">
      <c r="A202" t="s">
        <v>101</v>
      </c>
      <c r="B202" s="1" t="str">
        <f>""</f>
        <v/>
      </c>
      <c r="C202" s="1" t="str">
        <f>"-0.00452"</f>
        <v>-0.00452</v>
      </c>
    </row>
    <row r="203" spans="1:3" x14ac:dyDescent="0.25">
      <c r="A203" t="str">
        <f>""</f>
        <v/>
      </c>
      <c r="B203" s="1" t="str">
        <f>""</f>
        <v/>
      </c>
      <c r="C203" s="1" t="str">
        <f>"(0.0214)"</f>
        <v>(0.0214)</v>
      </c>
    </row>
    <row r="204" spans="1:3" x14ac:dyDescent="0.25">
      <c r="A204" t="s">
        <v>102</v>
      </c>
      <c r="B204" s="1" t="str">
        <f>""</f>
        <v/>
      </c>
      <c r="C204" s="1" t="str">
        <f>"-0.0361"</f>
        <v>-0.0361</v>
      </c>
    </row>
    <row r="205" spans="1:3" x14ac:dyDescent="0.25">
      <c r="A205" t="str">
        <f>""</f>
        <v/>
      </c>
      <c r="B205" s="1" t="str">
        <f>""</f>
        <v/>
      </c>
      <c r="C205" s="1" t="str">
        <f>"(0.0201)"</f>
        <v>(0.0201)</v>
      </c>
    </row>
    <row r="206" spans="1:3" x14ac:dyDescent="0.25">
      <c r="A206" t="s">
        <v>103</v>
      </c>
      <c r="B206" s="1" t="str">
        <f>""</f>
        <v/>
      </c>
      <c r="C206" s="1" t="str">
        <f>"-0.0243"</f>
        <v>-0.0243</v>
      </c>
    </row>
    <row r="207" spans="1:3" x14ac:dyDescent="0.25">
      <c r="A207" t="str">
        <f>""</f>
        <v/>
      </c>
      <c r="B207" s="1" t="str">
        <f>""</f>
        <v/>
      </c>
      <c r="C207" s="1" t="str">
        <f>"(0.0274)"</f>
        <v>(0.0274)</v>
      </c>
    </row>
    <row r="208" spans="1:3" x14ac:dyDescent="0.25">
      <c r="A208" t="s">
        <v>104</v>
      </c>
      <c r="B208" s="1" t="str">
        <f>""</f>
        <v/>
      </c>
      <c r="C208" s="1" t="str">
        <f>"0.0241"</f>
        <v>0.0241</v>
      </c>
    </row>
    <row r="209" spans="1:3" x14ac:dyDescent="0.25">
      <c r="A209" t="str">
        <f>""</f>
        <v/>
      </c>
      <c r="B209" s="1" t="str">
        <f>""</f>
        <v/>
      </c>
      <c r="C209" s="1" t="str">
        <f>"(0.0197)"</f>
        <v>(0.0197)</v>
      </c>
    </row>
    <row r="210" spans="1:3" x14ac:dyDescent="0.25">
      <c r="A210" t="s">
        <v>105</v>
      </c>
      <c r="B210" s="1" t="str">
        <f>""</f>
        <v/>
      </c>
      <c r="C210" s="1" t="str">
        <f>"0.0347**"</f>
        <v>0.0347**</v>
      </c>
    </row>
    <row r="211" spans="1:3" x14ac:dyDescent="0.25">
      <c r="A211" t="str">
        <f>""</f>
        <v/>
      </c>
      <c r="B211" s="1" t="str">
        <f>""</f>
        <v/>
      </c>
      <c r="C211" s="1" t="str">
        <f>"(0.0116)"</f>
        <v>(0.0116)</v>
      </c>
    </row>
    <row r="212" spans="1:3" x14ac:dyDescent="0.25">
      <c r="A212" t="s">
        <v>106</v>
      </c>
      <c r="B212" s="1" t="str">
        <f>""</f>
        <v/>
      </c>
      <c r="C212" s="1" t="str">
        <f>"0.00879"</f>
        <v>0.00879</v>
      </c>
    </row>
    <row r="213" spans="1:3" x14ac:dyDescent="0.25">
      <c r="A213" t="str">
        <f>""</f>
        <v/>
      </c>
      <c r="B213" s="1" t="str">
        <f>""</f>
        <v/>
      </c>
      <c r="C213" s="1" t="str">
        <f>"(0.0128)"</f>
        <v>(0.0128)</v>
      </c>
    </row>
    <row r="214" spans="1:3" x14ac:dyDescent="0.25">
      <c r="A214" t="s">
        <v>107</v>
      </c>
      <c r="B214" s="1" t="str">
        <f>""</f>
        <v/>
      </c>
      <c r="C214" s="1" t="str">
        <f>"0.0186"</f>
        <v>0.0186</v>
      </c>
    </row>
    <row r="215" spans="1:3" x14ac:dyDescent="0.25">
      <c r="A215" t="str">
        <f>""</f>
        <v/>
      </c>
      <c r="B215" s="1" t="str">
        <f>""</f>
        <v/>
      </c>
      <c r="C215" s="1" t="str">
        <f>"(0.0137)"</f>
        <v>(0.0137)</v>
      </c>
    </row>
    <row r="216" spans="1:3" x14ac:dyDescent="0.25">
      <c r="A216" t="s">
        <v>108</v>
      </c>
      <c r="B216" s="1" t="str">
        <f>""</f>
        <v/>
      </c>
      <c r="C216" s="1" t="str">
        <f>"-0.00435"</f>
        <v>-0.00435</v>
      </c>
    </row>
    <row r="217" spans="1:3" x14ac:dyDescent="0.25">
      <c r="A217" t="str">
        <f>""</f>
        <v/>
      </c>
      <c r="B217" s="1" t="str">
        <f>""</f>
        <v/>
      </c>
      <c r="C217" s="1" t="str">
        <f>"(0.0192)"</f>
        <v>(0.0192)</v>
      </c>
    </row>
    <row r="218" spans="1:3" x14ac:dyDescent="0.25">
      <c r="A218" t="s">
        <v>109</v>
      </c>
      <c r="B218" s="1" t="str">
        <f>""</f>
        <v/>
      </c>
      <c r="C218" s="1" t="str">
        <f>"0.0182"</f>
        <v>0.0182</v>
      </c>
    </row>
    <row r="219" spans="1:3" x14ac:dyDescent="0.25">
      <c r="A219" t="str">
        <f>""</f>
        <v/>
      </c>
      <c r="B219" s="1" t="str">
        <f>""</f>
        <v/>
      </c>
      <c r="C219" s="1" t="str">
        <f>"(0.0116)"</f>
        <v>(0.0116)</v>
      </c>
    </row>
    <row r="220" spans="1:3" x14ac:dyDescent="0.25">
      <c r="A220" t="s">
        <v>110</v>
      </c>
      <c r="B220" s="1" t="str">
        <f>""</f>
        <v/>
      </c>
      <c r="C220" s="1" t="str">
        <f>"0.0247"</f>
        <v>0.0247</v>
      </c>
    </row>
    <row r="221" spans="1:3" x14ac:dyDescent="0.25">
      <c r="A221" t="str">
        <f>""</f>
        <v/>
      </c>
      <c r="B221" s="1" t="str">
        <f>""</f>
        <v/>
      </c>
      <c r="C221" s="1" t="str">
        <f>"(0.0127)"</f>
        <v>(0.0127)</v>
      </c>
    </row>
    <row r="222" spans="1:3" x14ac:dyDescent="0.25">
      <c r="A222" t="s">
        <v>111</v>
      </c>
      <c r="B222" s="1" t="str">
        <f>""</f>
        <v/>
      </c>
      <c r="C222" s="1" t="str">
        <f>"0.0158"</f>
        <v>0.0158</v>
      </c>
    </row>
    <row r="223" spans="1:3" x14ac:dyDescent="0.25">
      <c r="A223" t="str">
        <f>""</f>
        <v/>
      </c>
      <c r="B223" s="1" t="str">
        <f>""</f>
        <v/>
      </c>
      <c r="C223" s="1" t="str">
        <f>"(0.0261)"</f>
        <v>(0.0261)</v>
      </c>
    </row>
    <row r="224" spans="1:3" x14ac:dyDescent="0.25">
      <c r="A224" t="s">
        <v>112</v>
      </c>
      <c r="B224" s="1" t="str">
        <f>""</f>
        <v/>
      </c>
      <c r="C224" s="1" t="str">
        <f>"0.0245"</f>
        <v>0.0245</v>
      </c>
    </row>
    <row r="225" spans="1:3" x14ac:dyDescent="0.25">
      <c r="A225" t="str">
        <f>""</f>
        <v/>
      </c>
      <c r="B225" s="1" t="str">
        <f>""</f>
        <v/>
      </c>
      <c r="C225" s="1" t="str">
        <f>"(0.0142)"</f>
        <v>(0.0142)</v>
      </c>
    </row>
    <row r="226" spans="1:3" x14ac:dyDescent="0.25">
      <c r="A226" t="s">
        <v>113</v>
      </c>
      <c r="B226" s="1" t="str">
        <f>""</f>
        <v/>
      </c>
      <c r="C226" s="1" t="str">
        <f>"0.0272*"</f>
        <v>0.0272*</v>
      </c>
    </row>
    <row r="227" spans="1:3" x14ac:dyDescent="0.25">
      <c r="A227" t="str">
        <f>""</f>
        <v/>
      </c>
      <c r="B227" s="1" t="str">
        <f>""</f>
        <v/>
      </c>
      <c r="C227" s="1" t="str">
        <f>"(0.0115)"</f>
        <v>(0.0115)</v>
      </c>
    </row>
    <row r="228" spans="1:3" x14ac:dyDescent="0.25">
      <c r="A228" t="s">
        <v>114</v>
      </c>
      <c r="B228" s="1" t="str">
        <f>""</f>
        <v/>
      </c>
      <c r="C228" s="1" t="str">
        <f>"0.0134"</f>
        <v>0.0134</v>
      </c>
    </row>
    <row r="229" spans="1:3" x14ac:dyDescent="0.25">
      <c r="A229" t="str">
        <f>""</f>
        <v/>
      </c>
      <c r="B229" s="1" t="str">
        <f>""</f>
        <v/>
      </c>
      <c r="C229" s="1" t="str">
        <f>"(0.0291)"</f>
        <v>(0.0291)</v>
      </c>
    </row>
    <row r="230" spans="1:3" x14ac:dyDescent="0.25">
      <c r="A230" t="str">
        <f>"Observations"</f>
        <v>Observations</v>
      </c>
      <c r="B230" s="1" t="str">
        <f>"68477"</f>
        <v>68477</v>
      </c>
      <c r="C230" s="1" t="str">
        <f>"68477"</f>
        <v>68477</v>
      </c>
    </row>
  </sheetData>
  <mergeCells count="4">
    <mergeCell ref="B2:C2"/>
    <mergeCell ref="F4:L7"/>
    <mergeCell ref="F9:L11"/>
    <mergeCell ref="A1:XFD1"/>
  </mergeCells>
  <pageMargins left="0.7" right="0.7" top="0.75" bottom="0.75" header="0.3" footer="0.3"/>
  <pageSetup orientation="portrait" verticalDpi="0" r:id="rId1"/>
  <ignoredErrors>
    <ignoredError sqref="B8 C12 C16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9983-05D9-49A9-8C59-E88B0EDC1930}">
  <dimension ref="A1:L230"/>
  <sheetViews>
    <sheetView workbookViewId="0">
      <selection activeCell="A2" sqref="A2"/>
    </sheetView>
  </sheetViews>
  <sheetFormatPr defaultRowHeight="15" x14ac:dyDescent="0.25"/>
  <cols>
    <col min="1" max="1" width="47.28515625" customWidth="1"/>
    <col min="2" max="3" width="11.28515625" bestFit="1" customWidth="1"/>
  </cols>
  <sheetData>
    <row r="1" spans="1:12" s="10" customFormat="1" x14ac:dyDescent="0.25">
      <c r="A1" s="10" t="s">
        <v>25</v>
      </c>
    </row>
    <row r="2" spans="1:12" x14ac:dyDescent="0.25">
      <c r="B2" s="11"/>
      <c r="C2" s="11"/>
    </row>
    <row r="3" spans="1:12" x14ac:dyDescent="0.25">
      <c r="A3" s="4" t="s">
        <v>23</v>
      </c>
      <c r="B3" s="6" t="s">
        <v>2</v>
      </c>
      <c r="C3" s="6" t="s">
        <v>3</v>
      </c>
      <c r="F3" s="5" t="s">
        <v>1</v>
      </c>
      <c r="G3" s="3"/>
      <c r="H3" s="3"/>
      <c r="I3" s="3"/>
      <c r="J3" s="3"/>
      <c r="K3" s="3"/>
    </row>
    <row r="4" spans="1:12" x14ac:dyDescent="0.25">
      <c r="A4" t="s">
        <v>7</v>
      </c>
      <c r="B4" s="7" t="str">
        <f>"-0.0823***"</f>
        <v>-0.0823***</v>
      </c>
      <c r="C4" s="7" t="str">
        <f>"-0.0860***"</f>
        <v>-0.0860***</v>
      </c>
      <c r="F4" s="9" t="s">
        <v>115</v>
      </c>
      <c r="G4" s="9"/>
      <c r="H4" s="9"/>
      <c r="I4" s="9"/>
      <c r="J4" s="9"/>
      <c r="K4" s="9"/>
      <c r="L4" s="9"/>
    </row>
    <row r="5" spans="1:12" x14ac:dyDescent="0.25">
      <c r="A5" t="s">
        <v>126</v>
      </c>
      <c r="B5" s="7" t="str">
        <f>"(0.0137)"</f>
        <v>(0.0137)</v>
      </c>
      <c r="C5" s="7" t="str">
        <f>"(0.0137)"</f>
        <v>(0.0137)</v>
      </c>
      <c r="F5" s="9"/>
      <c r="G5" s="9"/>
      <c r="H5" s="9"/>
      <c r="I5" s="9"/>
      <c r="J5" s="9"/>
      <c r="K5" s="9"/>
      <c r="L5" s="9"/>
    </row>
    <row r="6" spans="1:12" x14ac:dyDescent="0.25">
      <c r="A6" t="s">
        <v>125</v>
      </c>
      <c r="B6" s="2" t="str">
        <f>"-0.0188***"</f>
        <v>-0.0188***</v>
      </c>
      <c r="C6" s="2" t="str">
        <f>"-0.0202***"</f>
        <v>-0.0202***</v>
      </c>
      <c r="F6" s="9"/>
      <c r="G6" s="9"/>
      <c r="H6" s="9"/>
      <c r="I6" s="9"/>
      <c r="J6" s="9"/>
      <c r="K6" s="9"/>
      <c r="L6" s="9"/>
    </row>
    <row r="7" spans="1:12" x14ac:dyDescent="0.25">
      <c r="A7" t="s">
        <v>126</v>
      </c>
      <c r="B7" s="2" t="str">
        <f>"(0.00560)"</f>
        <v>(0.00560)</v>
      </c>
      <c r="C7" s="2" t="str">
        <f>"(0.00559)"</f>
        <v>(0.00559)</v>
      </c>
      <c r="F7" s="9"/>
      <c r="G7" s="9"/>
      <c r="H7" s="9"/>
      <c r="I7" s="9"/>
      <c r="J7" s="9"/>
      <c r="K7" s="9"/>
      <c r="L7" s="9"/>
    </row>
    <row r="8" spans="1:12" x14ac:dyDescent="0.25">
      <c r="A8" t="s">
        <v>127</v>
      </c>
      <c r="B8" s="2" t="str">
        <f>"-0.0143*"</f>
        <v>-0.0143*</v>
      </c>
      <c r="C8" s="2" t="str">
        <f>"-0.0152**"</f>
        <v>-0.0152**</v>
      </c>
      <c r="F8" s="3"/>
      <c r="G8" s="3"/>
      <c r="H8" s="3"/>
      <c r="I8" s="3"/>
      <c r="J8" s="3"/>
      <c r="K8" s="3"/>
    </row>
    <row r="9" spans="1:12" ht="15" customHeight="1" x14ac:dyDescent="0.25">
      <c r="A9" t="s">
        <v>126</v>
      </c>
      <c r="B9" s="2" t="str">
        <f>"(0.00584)"</f>
        <v>(0.00584)</v>
      </c>
      <c r="C9" s="2" t="str">
        <f>"(0.00583)"</f>
        <v>(0.00583)</v>
      </c>
      <c r="F9" s="9" t="s">
        <v>135</v>
      </c>
      <c r="G9" s="9"/>
      <c r="H9" s="9"/>
      <c r="I9" s="9"/>
      <c r="J9" s="9"/>
      <c r="K9" s="9"/>
      <c r="L9" s="9"/>
    </row>
    <row r="10" spans="1:12" ht="15" customHeight="1" x14ac:dyDescent="0.25">
      <c r="A10" t="s">
        <v>128</v>
      </c>
      <c r="B10" s="2" t="str">
        <f>"-0.0235***"</f>
        <v>-0.0235***</v>
      </c>
      <c r="C10" s="2" t="str">
        <f>"-0.0250***"</f>
        <v>-0.0250***</v>
      </c>
      <c r="F10" s="9"/>
      <c r="G10" s="9"/>
      <c r="H10" s="9"/>
      <c r="I10" s="9"/>
      <c r="J10" s="9"/>
      <c r="K10" s="9"/>
      <c r="L10" s="9"/>
    </row>
    <row r="11" spans="1:12" x14ac:dyDescent="0.25">
      <c r="A11" t="s">
        <v>126</v>
      </c>
      <c r="B11" s="2" t="str">
        <f>"(0.00593)"</f>
        <v>(0.00593)</v>
      </c>
      <c r="C11" s="2" t="str">
        <f>"(0.00592)"</f>
        <v>(0.00592)</v>
      </c>
      <c r="F11" s="9"/>
      <c r="G11" s="9"/>
      <c r="H11" s="9"/>
      <c r="I11" s="9"/>
      <c r="J11" s="9"/>
      <c r="K11" s="9"/>
      <c r="L11" s="9"/>
    </row>
    <row r="12" spans="1:12" x14ac:dyDescent="0.25">
      <c r="A12" t="s">
        <v>129</v>
      </c>
      <c r="B12" s="2" t="str">
        <f>"-0.0154**"</f>
        <v>-0.0154**</v>
      </c>
      <c r="C12" s="2" t="str">
        <f>"-0.0168**"</f>
        <v>-0.0168**</v>
      </c>
    </row>
    <row r="13" spans="1:12" x14ac:dyDescent="0.25">
      <c r="A13" t="s">
        <v>126</v>
      </c>
      <c r="B13" s="2" t="str">
        <f>"(0.00595)"</f>
        <v>(0.00595)</v>
      </c>
      <c r="C13" s="2" t="str">
        <f>"(0.00594)"</f>
        <v>(0.00594)</v>
      </c>
      <c r="F13" t="s">
        <v>0</v>
      </c>
    </row>
    <row r="14" spans="1:12" x14ac:dyDescent="0.25">
      <c r="A14" t="s">
        <v>130</v>
      </c>
      <c r="B14" s="2" t="str">
        <f>"0.00388"</f>
        <v>0.00388</v>
      </c>
      <c r="C14" s="2" t="str">
        <f>"0.00520"</f>
        <v>0.00520</v>
      </c>
    </row>
    <row r="15" spans="1:12" ht="15" customHeight="1" x14ac:dyDescent="0.25">
      <c r="A15" t="s">
        <v>126</v>
      </c>
      <c r="B15" s="2" t="str">
        <f>"(0.00643)"</f>
        <v>(0.00643)</v>
      </c>
      <c r="C15" s="2" t="str">
        <f>"(0.00640)"</f>
        <v>(0.00640)</v>
      </c>
    </row>
    <row r="16" spans="1:12" x14ac:dyDescent="0.25">
      <c r="A16" t="s">
        <v>131</v>
      </c>
      <c r="B16" s="2" t="str">
        <f>"-0.0181**"</f>
        <v>-0.0181**</v>
      </c>
      <c r="C16" s="2" t="str">
        <f>"-0.0178**"</f>
        <v>-0.0178**</v>
      </c>
    </row>
    <row r="17" spans="1:3" x14ac:dyDescent="0.25">
      <c r="A17" t="s">
        <v>126</v>
      </c>
      <c r="B17" s="2" t="str">
        <f>"(0.00576)"</f>
        <v>(0.00576)</v>
      </c>
      <c r="C17" s="2" t="str">
        <f>"(0.00575)"</f>
        <v>(0.00575)</v>
      </c>
    </row>
    <row r="18" spans="1:3" x14ac:dyDescent="0.25">
      <c r="A18" t="s">
        <v>8</v>
      </c>
      <c r="B18" s="2" t="str">
        <f>"0.00382"</f>
        <v>0.00382</v>
      </c>
      <c r="C18" s="2" t="str">
        <f>"0.00241"</f>
        <v>0.00241</v>
      </c>
    </row>
    <row r="19" spans="1:3" x14ac:dyDescent="0.25">
      <c r="A19" t="s">
        <v>126</v>
      </c>
      <c r="B19" s="2" t="str">
        <f>"(0.00612)"</f>
        <v>(0.00612)</v>
      </c>
      <c r="C19" s="2" t="str">
        <f>"(0.00610)"</f>
        <v>(0.00610)</v>
      </c>
    </row>
    <row r="20" spans="1:3" x14ac:dyDescent="0.25">
      <c r="A20" t="s">
        <v>9</v>
      </c>
      <c r="B20" s="2" t="str">
        <f>"-0.000590"</f>
        <v>-0.000590</v>
      </c>
      <c r="C20" s="2" t="str">
        <f>"-0.0129"</f>
        <v>-0.0129</v>
      </c>
    </row>
    <row r="21" spans="1:3" x14ac:dyDescent="0.25">
      <c r="A21" t="s">
        <v>126</v>
      </c>
      <c r="B21" s="2" t="str">
        <f>"(0.0223)"</f>
        <v>(0.0223)</v>
      </c>
      <c r="C21" s="2" t="str">
        <f>"(0.0223)"</f>
        <v>(0.0223)</v>
      </c>
    </row>
    <row r="22" spans="1:3" x14ac:dyDescent="0.25">
      <c r="A22" t="s">
        <v>10</v>
      </c>
      <c r="B22" s="2" t="str">
        <f>"0.0108"</f>
        <v>0.0108</v>
      </c>
      <c r="C22" s="2" t="str">
        <f>"0.0112"</f>
        <v>0.0112</v>
      </c>
    </row>
    <row r="23" spans="1:3" x14ac:dyDescent="0.25">
      <c r="A23" t="s">
        <v>126</v>
      </c>
      <c r="B23" s="2" t="str">
        <f>"(0.00723)"</f>
        <v>(0.00723)</v>
      </c>
      <c r="C23" s="2" t="str">
        <f>"(0.00722)"</f>
        <v>(0.00722)</v>
      </c>
    </row>
    <row r="24" spans="1:3" x14ac:dyDescent="0.25">
      <c r="A24" t="s">
        <v>11</v>
      </c>
      <c r="B24" s="2" t="str">
        <f>"0.00793"</f>
        <v>0.00793</v>
      </c>
      <c r="C24" s="2" t="str">
        <f>"0.00661"</f>
        <v>0.00661</v>
      </c>
    </row>
    <row r="25" spans="1:3" x14ac:dyDescent="0.25">
      <c r="A25" t="s">
        <v>126</v>
      </c>
      <c r="B25" s="2" t="str">
        <f>"(0.0135)"</f>
        <v>(0.0135)</v>
      </c>
      <c r="C25" s="2" t="str">
        <f>"(0.0134)"</f>
        <v>(0.0134)</v>
      </c>
    </row>
    <row r="26" spans="1:3" x14ac:dyDescent="0.25">
      <c r="A26" t="s">
        <v>12</v>
      </c>
      <c r="B26" s="2" t="str">
        <f>"-0.0117"</f>
        <v>-0.0117</v>
      </c>
      <c r="C26" s="2" t="str">
        <f>"-0.0129"</f>
        <v>-0.0129</v>
      </c>
    </row>
    <row r="27" spans="1:3" x14ac:dyDescent="0.25">
      <c r="A27" t="str">
        <f>""</f>
        <v/>
      </c>
      <c r="B27" s="2" t="str">
        <f>"(0.00878)"</f>
        <v>(0.00878)</v>
      </c>
      <c r="C27" s="2" t="str">
        <f>"(0.00874)"</f>
        <v>(0.00874)</v>
      </c>
    </row>
    <row r="28" spans="1:3" x14ac:dyDescent="0.25">
      <c r="A28" t="s">
        <v>13</v>
      </c>
      <c r="B28" s="2" t="str">
        <f>"0.0127"</f>
        <v>0.0127</v>
      </c>
      <c r="C28" s="2" t="str">
        <f>"0.0128"</f>
        <v>0.0128</v>
      </c>
    </row>
    <row r="29" spans="1:3" x14ac:dyDescent="0.25">
      <c r="A29" t="str">
        <f>""</f>
        <v/>
      </c>
      <c r="B29" s="2" t="str">
        <f>"(0.0152)"</f>
        <v>(0.0152)</v>
      </c>
      <c r="C29" s="2" t="str">
        <f>"(0.0151)"</f>
        <v>(0.0151)</v>
      </c>
    </row>
    <row r="30" spans="1:3" x14ac:dyDescent="0.25">
      <c r="A30" t="s">
        <v>14</v>
      </c>
      <c r="B30" s="2" t="str">
        <f>"-0.0200"</f>
        <v>-0.0200</v>
      </c>
      <c r="C30" s="2" t="str">
        <f>"-0.0271"</f>
        <v>-0.0271</v>
      </c>
    </row>
    <row r="31" spans="1:3" x14ac:dyDescent="0.25">
      <c r="A31" t="str">
        <f>""</f>
        <v/>
      </c>
      <c r="B31" s="2" t="str">
        <f>"(0.0173)"</f>
        <v>(0.0173)</v>
      </c>
      <c r="C31" s="2" t="str">
        <f>"(0.0172)"</f>
        <v>(0.0172)</v>
      </c>
    </row>
    <row r="32" spans="1:3" x14ac:dyDescent="0.25">
      <c r="A32" t="s">
        <v>15</v>
      </c>
      <c r="B32" s="2" t="str">
        <f>"0.0264"</f>
        <v>0.0264</v>
      </c>
      <c r="C32" s="2" t="str">
        <f>"0.0225"</f>
        <v>0.0225</v>
      </c>
    </row>
    <row r="33" spans="1:3" x14ac:dyDescent="0.25">
      <c r="A33" t="str">
        <f>""</f>
        <v/>
      </c>
      <c r="B33" s="2" t="str">
        <f>"(0.0150)"</f>
        <v>(0.0150)</v>
      </c>
      <c r="C33" s="2" t="str">
        <f>"(0.0148)"</f>
        <v>(0.0148)</v>
      </c>
    </row>
    <row r="34" spans="1:3" x14ac:dyDescent="0.25">
      <c r="A34" t="s">
        <v>4</v>
      </c>
      <c r="B34" s="2" t="str">
        <f>"-0.00550***"</f>
        <v>-0.00550***</v>
      </c>
      <c r="C34" s="2" t="str">
        <f>"-0.00512***"</f>
        <v>-0.00512***</v>
      </c>
    </row>
    <row r="35" spans="1:3" x14ac:dyDescent="0.25">
      <c r="A35" t="str">
        <f>""</f>
        <v/>
      </c>
      <c r="B35" s="2" t="str">
        <f>"(0.00122)"</f>
        <v>(0.00122)</v>
      </c>
      <c r="C35" s="2" t="str">
        <f>"(0.00122)"</f>
        <v>(0.00122)</v>
      </c>
    </row>
    <row r="36" spans="1:3" x14ac:dyDescent="0.25">
      <c r="A36" t="s">
        <v>5</v>
      </c>
      <c r="B36" s="2" t="str">
        <f>"0.0245***"</f>
        <v>0.0245***</v>
      </c>
      <c r="C36" s="2" t="str">
        <f>"0.0233***"</f>
        <v>0.0233***</v>
      </c>
    </row>
    <row r="37" spans="1:3" x14ac:dyDescent="0.25">
      <c r="A37" t="str">
        <f>""</f>
        <v/>
      </c>
      <c r="B37" s="2" t="str">
        <f>"(0.00341)"</f>
        <v>(0.00341)</v>
      </c>
      <c r="C37" s="2" t="str">
        <f>"(0.00341)"</f>
        <v>(0.00341)</v>
      </c>
    </row>
    <row r="38" spans="1:3" x14ac:dyDescent="0.25">
      <c r="A38" t="s">
        <v>16</v>
      </c>
      <c r="B38" s="2" t="str">
        <f>"0.0711***"</f>
        <v>0.0711***</v>
      </c>
      <c r="C38" s="2" t="str">
        <f>"0.0748***"</f>
        <v>0.0748***</v>
      </c>
    </row>
    <row r="39" spans="1:3" x14ac:dyDescent="0.25">
      <c r="A39" t="str">
        <f>""</f>
        <v/>
      </c>
      <c r="B39" s="2" t="str">
        <f>"(0.00487)"</f>
        <v>(0.00487)</v>
      </c>
      <c r="C39" s="2" t="str">
        <f>"(0.00487)"</f>
        <v>(0.00487)</v>
      </c>
    </row>
    <row r="40" spans="1:3" x14ac:dyDescent="0.25">
      <c r="A40" t="s">
        <v>17</v>
      </c>
      <c r="B40" s="2" t="str">
        <f>"0.0116***"</f>
        <v>0.0116***</v>
      </c>
      <c r="C40" s="2" t="str">
        <f>"0.0118***"</f>
        <v>0.0118***</v>
      </c>
    </row>
    <row r="41" spans="1:3" x14ac:dyDescent="0.25">
      <c r="A41" t="str">
        <f>""</f>
        <v/>
      </c>
      <c r="B41" s="2" t="str">
        <f>"(0.00338)"</f>
        <v>(0.00338)</v>
      </c>
      <c r="C41" s="2" t="str">
        <f>"(0.00338)"</f>
        <v>(0.00338)</v>
      </c>
    </row>
    <row r="42" spans="1:3" x14ac:dyDescent="0.25">
      <c r="A42" t="s">
        <v>18</v>
      </c>
      <c r="B42" s="2" t="str">
        <f>"0.266***"</f>
        <v>0.266***</v>
      </c>
      <c r="C42" s="2" t="str">
        <f>"0.266***"</f>
        <v>0.266***</v>
      </c>
    </row>
    <row r="43" spans="1:3" x14ac:dyDescent="0.25">
      <c r="A43" t="str">
        <f>""</f>
        <v/>
      </c>
      <c r="B43" s="2" t="str">
        <f>"(0.00365)"</f>
        <v>(0.00365)</v>
      </c>
      <c r="C43" s="2" t="str">
        <f>"(0.00365)"</f>
        <v>(0.00365)</v>
      </c>
    </row>
    <row r="44" spans="1:3" x14ac:dyDescent="0.25">
      <c r="A44" t="s">
        <v>19</v>
      </c>
      <c r="B44" s="2" t="str">
        <f>"-0.00311***"</f>
        <v>-0.00311***</v>
      </c>
      <c r="C44" s="2" t="str">
        <f>"-0.00305***"</f>
        <v>-0.00305***</v>
      </c>
    </row>
    <row r="45" spans="1:3" x14ac:dyDescent="0.25">
      <c r="A45" t="str">
        <f>""</f>
        <v/>
      </c>
      <c r="B45" s="2" t="str">
        <f>"(0.000357)"</f>
        <v>(0.000357)</v>
      </c>
      <c r="C45" s="2" t="str">
        <f>"(0.000355)"</f>
        <v>(0.000355)</v>
      </c>
    </row>
    <row r="46" spans="1:3" x14ac:dyDescent="0.25">
      <c r="A46" t="s">
        <v>26</v>
      </c>
      <c r="B46" s="2" t="str">
        <f>"-0.0392***"</f>
        <v>-0.0392***</v>
      </c>
      <c r="C46" s="2" t="str">
        <f>"-0.0411***"</f>
        <v>-0.0411***</v>
      </c>
    </row>
    <row r="47" spans="1:3" x14ac:dyDescent="0.25">
      <c r="A47" t="str">
        <f>""</f>
        <v/>
      </c>
      <c r="B47" s="2" t="str">
        <f>"(0.00745)"</f>
        <v>(0.00745)</v>
      </c>
      <c r="C47" s="2" t="str">
        <f>"(0.00746)"</f>
        <v>(0.00746)</v>
      </c>
    </row>
    <row r="48" spans="1:3" x14ac:dyDescent="0.25">
      <c r="A48" t="s">
        <v>20</v>
      </c>
      <c r="B48" s="2" t="str">
        <f>"-0.00821***"</f>
        <v>-0.00821***</v>
      </c>
      <c r="C48" s="2" t="str">
        <f>"-0.00804***"</f>
        <v>-0.00804***</v>
      </c>
    </row>
    <row r="49" spans="1:3" x14ac:dyDescent="0.25">
      <c r="A49" t="str">
        <f>""</f>
        <v/>
      </c>
      <c r="B49" s="2" t="str">
        <f>"(0.000673)"</f>
        <v>(0.000673)</v>
      </c>
      <c r="C49" s="2" t="str">
        <f>"(0.000653)"</f>
        <v>(0.000653)</v>
      </c>
    </row>
    <row r="50" spans="1:3" x14ac:dyDescent="0.25">
      <c r="A50" t="s">
        <v>21</v>
      </c>
      <c r="B50" s="2" t="str">
        <f>"0.0416***"</f>
        <v>0.0416***</v>
      </c>
      <c r="C50" s="2" t="str">
        <f>"0.0412***"</f>
        <v>0.0412***</v>
      </c>
    </row>
    <row r="51" spans="1:3" x14ac:dyDescent="0.25">
      <c r="A51" t="str">
        <f>""</f>
        <v/>
      </c>
      <c r="B51" s="2" t="str">
        <f>"(0.00185)"</f>
        <v>(0.00185)</v>
      </c>
      <c r="C51" s="2" t="str">
        <f>"(0.00181)"</f>
        <v>(0.00181)</v>
      </c>
    </row>
    <row r="52" spans="1:3" x14ac:dyDescent="0.25">
      <c r="A52" t="s">
        <v>22</v>
      </c>
      <c r="B52" s="2" t="str">
        <f>"0.0371***"</f>
        <v>0.0371***</v>
      </c>
      <c r="C52" s="2" t="str">
        <f>"0.0382***"</f>
        <v>0.0382***</v>
      </c>
    </row>
    <row r="53" spans="1:3" x14ac:dyDescent="0.25">
      <c r="A53" t="str">
        <f>""</f>
        <v/>
      </c>
      <c r="B53" s="2" t="str">
        <f>"(0.00778)"</f>
        <v>(0.00778)</v>
      </c>
      <c r="C53" s="2" t="str">
        <f>"(0.00774)"</f>
        <v>(0.00774)</v>
      </c>
    </row>
    <row r="54" spans="1:3" x14ac:dyDescent="0.25">
      <c r="A54" t="s">
        <v>27</v>
      </c>
      <c r="B54" s="2" t="str">
        <f>""</f>
        <v/>
      </c>
      <c r="C54" s="2" t="str">
        <f>"0.0588**"</f>
        <v>0.0588**</v>
      </c>
    </row>
    <row r="55" spans="1:3" x14ac:dyDescent="0.25">
      <c r="B55" s="2" t="str">
        <f>""</f>
        <v/>
      </c>
      <c r="C55" s="2" t="str">
        <f>"(0.0190)"</f>
        <v>(0.0190)</v>
      </c>
    </row>
    <row r="56" spans="1:3" x14ac:dyDescent="0.25">
      <c r="A56" t="s">
        <v>28</v>
      </c>
      <c r="B56" s="2" t="str">
        <f>""</f>
        <v/>
      </c>
      <c r="C56" s="2" t="str">
        <f>"0.0494*"</f>
        <v>0.0494*</v>
      </c>
    </row>
    <row r="57" spans="1:3" x14ac:dyDescent="0.25">
      <c r="B57" s="2" t="str">
        <f>""</f>
        <v/>
      </c>
      <c r="C57" s="2" t="str">
        <f>"(0.0228)"</f>
        <v>(0.0228)</v>
      </c>
    </row>
    <row r="58" spans="1:3" x14ac:dyDescent="0.25">
      <c r="A58" t="s">
        <v>29</v>
      </c>
      <c r="B58" s="2" t="str">
        <f>""</f>
        <v/>
      </c>
      <c r="C58" s="2" t="str">
        <f>"0.0142"</f>
        <v>0.0142</v>
      </c>
    </row>
    <row r="59" spans="1:3" x14ac:dyDescent="0.25">
      <c r="B59" s="2" t="str">
        <f>""</f>
        <v/>
      </c>
      <c r="C59" s="2" t="str">
        <f>"(0.0185)"</f>
        <v>(0.0185)</v>
      </c>
    </row>
    <row r="60" spans="1:3" x14ac:dyDescent="0.25">
      <c r="A60" t="s">
        <v>30</v>
      </c>
      <c r="B60" s="2" t="str">
        <f>""</f>
        <v/>
      </c>
      <c r="C60" s="2" t="str">
        <f>"0.00988"</f>
        <v>0.00988</v>
      </c>
    </row>
    <row r="61" spans="1:3" x14ac:dyDescent="0.25">
      <c r="B61" s="2" t="str">
        <f>""</f>
        <v/>
      </c>
      <c r="C61" s="2" t="str">
        <f>"(0.0175)"</f>
        <v>(0.0175)</v>
      </c>
    </row>
    <row r="62" spans="1:3" x14ac:dyDescent="0.25">
      <c r="A62" t="s">
        <v>31</v>
      </c>
      <c r="B62" s="2" t="str">
        <f>""</f>
        <v/>
      </c>
      <c r="C62" s="2" t="str">
        <f>"-0.0226"</f>
        <v>-0.0226</v>
      </c>
    </row>
    <row r="63" spans="1:3" x14ac:dyDescent="0.25">
      <c r="B63" s="2" t="str">
        <f>""</f>
        <v/>
      </c>
      <c r="C63" s="2" t="str">
        <f>"(0.0174)"</f>
        <v>(0.0174)</v>
      </c>
    </row>
    <row r="64" spans="1:3" x14ac:dyDescent="0.25">
      <c r="A64" t="s">
        <v>32</v>
      </c>
      <c r="B64" s="2" t="str">
        <f>""</f>
        <v/>
      </c>
      <c r="C64" s="2" t="str">
        <f>"-0.0308"</f>
        <v>-0.0308</v>
      </c>
    </row>
    <row r="65" spans="1:3" x14ac:dyDescent="0.25">
      <c r="B65" s="2" t="str">
        <f>""</f>
        <v/>
      </c>
      <c r="C65" s="2" t="str">
        <f>"(0.0344)"</f>
        <v>(0.0344)</v>
      </c>
    </row>
    <row r="66" spans="1:3" x14ac:dyDescent="0.25">
      <c r="A66" t="s">
        <v>33</v>
      </c>
      <c r="B66" s="2" t="str">
        <f>""</f>
        <v/>
      </c>
      <c r="C66" s="2" t="str">
        <f>"-0.00605"</f>
        <v>-0.00605</v>
      </c>
    </row>
    <row r="67" spans="1:3" x14ac:dyDescent="0.25">
      <c r="B67" s="2" t="str">
        <f>""</f>
        <v/>
      </c>
      <c r="C67" s="2" t="str">
        <f>"(0.0318)"</f>
        <v>(0.0318)</v>
      </c>
    </row>
    <row r="68" spans="1:3" x14ac:dyDescent="0.25">
      <c r="A68" t="s">
        <v>34</v>
      </c>
      <c r="B68" s="2" t="str">
        <f>""</f>
        <v/>
      </c>
      <c r="C68" s="2" t="str">
        <f>"0.00511"</f>
        <v>0.00511</v>
      </c>
    </row>
    <row r="69" spans="1:3" x14ac:dyDescent="0.25">
      <c r="B69" s="2" t="str">
        <f>""</f>
        <v/>
      </c>
      <c r="C69" s="2" t="str">
        <f>"(0.0338)"</f>
        <v>(0.0338)</v>
      </c>
    </row>
    <row r="70" spans="1:3" x14ac:dyDescent="0.25">
      <c r="A70" t="s">
        <v>35</v>
      </c>
      <c r="B70" s="2" t="str">
        <f>""</f>
        <v/>
      </c>
      <c r="C70" s="2" t="str">
        <f>"-0.00727"</f>
        <v>-0.00727</v>
      </c>
    </row>
    <row r="71" spans="1:3" x14ac:dyDescent="0.25">
      <c r="B71" s="2" t="str">
        <f>""</f>
        <v/>
      </c>
      <c r="C71" s="2" t="str">
        <f>"(0.0202)"</f>
        <v>(0.0202)</v>
      </c>
    </row>
    <row r="72" spans="1:3" x14ac:dyDescent="0.25">
      <c r="A72" t="s">
        <v>36</v>
      </c>
      <c r="B72" s="2" t="str">
        <f>""</f>
        <v/>
      </c>
      <c r="C72" s="2" t="str">
        <f>"-0.0328"</f>
        <v>-0.0328</v>
      </c>
    </row>
    <row r="73" spans="1:3" x14ac:dyDescent="0.25">
      <c r="B73" s="2" t="str">
        <f>""</f>
        <v/>
      </c>
      <c r="C73" s="2" t="str">
        <f>"(0.0393)"</f>
        <v>(0.0393)</v>
      </c>
    </row>
    <row r="74" spans="1:3" x14ac:dyDescent="0.25">
      <c r="A74" t="s">
        <v>37</v>
      </c>
      <c r="B74" s="2" t="str">
        <f>""</f>
        <v/>
      </c>
      <c r="C74" s="2" t="str">
        <f>"0.0341"</f>
        <v>0.0341</v>
      </c>
    </row>
    <row r="75" spans="1:3" x14ac:dyDescent="0.25">
      <c r="B75" s="2" t="str">
        <f>""</f>
        <v/>
      </c>
      <c r="C75" s="2" t="str">
        <f>"(0.0303)"</f>
        <v>(0.0303)</v>
      </c>
    </row>
    <row r="76" spans="1:3" x14ac:dyDescent="0.25">
      <c r="A76" t="s">
        <v>38</v>
      </c>
      <c r="B76" s="2" t="str">
        <f>""</f>
        <v/>
      </c>
      <c r="C76" s="2" t="str">
        <f>"0.0180"</f>
        <v>0.0180</v>
      </c>
    </row>
    <row r="77" spans="1:3" x14ac:dyDescent="0.25">
      <c r="B77" s="2" t="str">
        <f>""</f>
        <v/>
      </c>
      <c r="C77" s="2" t="str">
        <f>"(0.0220)"</f>
        <v>(0.0220)</v>
      </c>
    </row>
    <row r="78" spans="1:3" x14ac:dyDescent="0.25">
      <c r="A78" t="s">
        <v>39</v>
      </c>
      <c r="B78" s="2" t="str">
        <f>""</f>
        <v/>
      </c>
      <c r="C78" s="2" t="str">
        <f>"0.0894*"</f>
        <v>0.0894*</v>
      </c>
    </row>
    <row r="79" spans="1:3" x14ac:dyDescent="0.25">
      <c r="B79" s="2" t="str">
        <f>""</f>
        <v/>
      </c>
      <c r="C79" s="2" t="str">
        <f>"(0.0363)"</f>
        <v>(0.0363)</v>
      </c>
    </row>
    <row r="80" spans="1:3" x14ac:dyDescent="0.25">
      <c r="A80" t="s">
        <v>40</v>
      </c>
      <c r="B80" s="2" t="str">
        <f>""</f>
        <v/>
      </c>
      <c r="C80" s="2" t="str">
        <f>"0.0382"</f>
        <v>0.0382</v>
      </c>
    </row>
    <row r="81" spans="1:3" x14ac:dyDescent="0.25">
      <c r="B81" s="2" t="str">
        <f>""</f>
        <v/>
      </c>
      <c r="C81" s="2" t="str">
        <f>"(0.0213)"</f>
        <v>(0.0213)</v>
      </c>
    </row>
    <row r="82" spans="1:3" x14ac:dyDescent="0.25">
      <c r="A82" t="s">
        <v>41</v>
      </c>
      <c r="B82" s="2" t="str">
        <f>""</f>
        <v/>
      </c>
      <c r="C82" s="2" t="str">
        <f>"0.0285"</f>
        <v>0.0285</v>
      </c>
    </row>
    <row r="83" spans="1:3" x14ac:dyDescent="0.25">
      <c r="B83" s="2" t="str">
        <f>""</f>
        <v/>
      </c>
      <c r="C83" s="2" t="str">
        <f>"(0.0161)"</f>
        <v>(0.0161)</v>
      </c>
    </row>
    <row r="84" spans="1:3" x14ac:dyDescent="0.25">
      <c r="A84" t="s">
        <v>42</v>
      </c>
      <c r="B84" s="2" t="str">
        <f>""</f>
        <v/>
      </c>
      <c r="C84" s="2" t="str">
        <f>"0.0637***"</f>
        <v>0.0637***</v>
      </c>
    </row>
    <row r="85" spans="1:3" x14ac:dyDescent="0.25">
      <c r="B85" s="2" t="str">
        <f>""</f>
        <v/>
      </c>
      <c r="C85" s="2" t="str">
        <f>"(0.0156)"</f>
        <v>(0.0156)</v>
      </c>
    </row>
    <row r="86" spans="1:3" x14ac:dyDescent="0.25">
      <c r="A86" t="s">
        <v>43</v>
      </c>
      <c r="B86" s="2" t="str">
        <f>""</f>
        <v/>
      </c>
      <c r="C86" s="2" t="str">
        <f>"0.0127"</f>
        <v>0.0127</v>
      </c>
    </row>
    <row r="87" spans="1:3" x14ac:dyDescent="0.25">
      <c r="B87" s="2" t="str">
        <f>""</f>
        <v/>
      </c>
      <c r="C87" s="2" t="str">
        <f>"(0.0166)"</f>
        <v>(0.0166)</v>
      </c>
    </row>
    <row r="88" spans="1:3" x14ac:dyDescent="0.25">
      <c r="A88" t="s">
        <v>44</v>
      </c>
      <c r="B88" s="2" t="str">
        <f>""</f>
        <v/>
      </c>
      <c r="C88" s="2" t="str">
        <f>"-0.00948"</f>
        <v>-0.00948</v>
      </c>
    </row>
    <row r="89" spans="1:3" x14ac:dyDescent="0.25">
      <c r="B89" s="2" t="str">
        <f>""</f>
        <v/>
      </c>
      <c r="C89" s="2" t="str">
        <f>"(0.0216)"</f>
        <v>(0.0216)</v>
      </c>
    </row>
    <row r="90" spans="1:3" x14ac:dyDescent="0.25">
      <c r="A90" t="s">
        <v>45</v>
      </c>
      <c r="B90" s="2" t="str">
        <f>""</f>
        <v/>
      </c>
      <c r="C90" s="2" t="str">
        <f>"-0.000439"</f>
        <v>-0.000439</v>
      </c>
    </row>
    <row r="91" spans="1:3" x14ac:dyDescent="0.25">
      <c r="B91" s="2" t="str">
        <f>""</f>
        <v/>
      </c>
      <c r="C91" s="2" t="str">
        <f>"(0.0402)"</f>
        <v>(0.0402)</v>
      </c>
    </row>
    <row r="92" spans="1:3" x14ac:dyDescent="0.25">
      <c r="A92" t="s">
        <v>46</v>
      </c>
      <c r="B92" s="2" t="str">
        <f>""</f>
        <v/>
      </c>
      <c r="C92" s="2" t="str">
        <f>"0.0162"</f>
        <v>0.0162</v>
      </c>
    </row>
    <row r="93" spans="1:3" x14ac:dyDescent="0.25">
      <c r="B93" s="2" t="str">
        <f>""</f>
        <v/>
      </c>
      <c r="C93" s="2" t="str">
        <f>"(0.0181)"</f>
        <v>(0.0181)</v>
      </c>
    </row>
    <row r="94" spans="1:3" x14ac:dyDescent="0.25">
      <c r="A94" t="s">
        <v>47</v>
      </c>
      <c r="B94" s="2" t="str">
        <f>""</f>
        <v/>
      </c>
      <c r="C94" s="2" t="str">
        <f>"-0.0159"</f>
        <v>-0.0159</v>
      </c>
    </row>
    <row r="95" spans="1:3" x14ac:dyDescent="0.25">
      <c r="B95" s="2" t="str">
        <f>""</f>
        <v/>
      </c>
      <c r="C95" s="2" t="str">
        <f>"(0.0343)"</f>
        <v>(0.0343)</v>
      </c>
    </row>
    <row r="96" spans="1:3" x14ac:dyDescent="0.25">
      <c r="A96" t="s">
        <v>48</v>
      </c>
      <c r="B96" s="2" t="str">
        <f>""</f>
        <v/>
      </c>
      <c r="C96" s="2" t="str">
        <f>"-0.0251"</f>
        <v>-0.0251</v>
      </c>
    </row>
    <row r="97" spans="1:3" x14ac:dyDescent="0.25">
      <c r="B97" s="2" t="str">
        <f>""</f>
        <v/>
      </c>
      <c r="C97" s="2" t="str">
        <f>"(0.0200)"</f>
        <v>(0.0200)</v>
      </c>
    </row>
    <row r="98" spans="1:3" x14ac:dyDescent="0.25">
      <c r="A98" t="s">
        <v>49</v>
      </c>
      <c r="B98" s="2" t="str">
        <f>""</f>
        <v/>
      </c>
      <c r="C98" s="2" t="str">
        <f>"0.0414"</f>
        <v>0.0414</v>
      </c>
    </row>
    <row r="99" spans="1:3" x14ac:dyDescent="0.25">
      <c r="B99" s="2" t="str">
        <f>""</f>
        <v/>
      </c>
      <c r="C99" s="2" t="str">
        <f>"(0.0295)"</f>
        <v>(0.0295)</v>
      </c>
    </row>
    <row r="100" spans="1:3" x14ac:dyDescent="0.25">
      <c r="A100" t="s">
        <v>50</v>
      </c>
      <c r="B100" s="2" t="str">
        <f>""</f>
        <v/>
      </c>
      <c r="C100" s="2" t="str">
        <f>"0.0551"</f>
        <v>0.0551</v>
      </c>
    </row>
    <row r="101" spans="1:3" x14ac:dyDescent="0.25">
      <c r="B101" s="2" t="str">
        <f>""</f>
        <v/>
      </c>
      <c r="C101" s="2" t="str">
        <f>"(0.0572)"</f>
        <v>(0.0572)</v>
      </c>
    </row>
    <row r="102" spans="1:3" x14ac:dyDescent="0.25">
      <c r="A102" t="s">
        <v>51</v>
      </c>
      <c r="B102" s="2" t="str">
        <f>""</f>
        <v/>
      </c>
      <c r="C102" s="2" t="str">
        <f>"0.0323"</f>
        <v>0.0323</v>
      </c>
    </row>
    <row r="103" spans="1:3" x14ac:dyDescent="0.25">
      <c r="B103" s="2" t="str">
        <f>""</f>
        <v/>
      </c>
      <c r="C103" s="2" t="str">
        <f>"(0.0197)"</f>
        <v>(0.0197)</v>
      </c>
    </row>
    <row r="104" spans="1:3" x14ac:dyDescent="0.25">
      <c r="A104" t="s">
        <v>52</v>
      </c>
      <c r="B104" s="2" t="str">
        <f>""</f>
        <v/>
      </c>
      <c r="C104" s="2" t="str">
        <f>"-0.0490*"</f>
        <v>-0.0490*</v>
      </c>
    </row>
    <row r="105" spans="1:3" x14ac:dyDescent="0.25">
      <c r="B105" s="2" t="str">
        <f>""</f>
        <v/>
      </c>
      <c r="C105" s="2" t="str">
        <f>"(0.0225)"</f>
        <v>(0.0225)</v>
      </c>
    </row>
    <row r="106" spans="1:3" x14ac:dyDescent="0.25">
      <c r="A106" t="s">
        <v>53</v>
      </c>
      <c r="B106" s="2" t="str">
        <f>""</f>
        <v/>
      </c>
      <c r="C106" s="2" t="str">
        <f>"0.0192"</f>
        <v>0.0192</v>
      </c>
    </row>
    <row r="107" spans="1:3" x14ac:dyDescent="0.25">
      <c r="B107" s="2" t="str">
        <f>""</f>
        <v/>
      </c>
      <c r="C107" s="2" t="str">
        <f>"(0.0324)"</f>
        <v>(0.0324)</v>
      </c>
    </row>
    <row r="108" spans="1:3" x14ac:dyDescent="0.25">
      <c r="A108" t="s">
        <v>54</v>
      </c>
      <c r="B108" s="2" t="str">
        <f>""</f>
        <v/>
      </c>
      <c r="C108" s="2" t="str">
        <f>"-0.0426"</f>
        <v>-0.0426</v>
      </c>
    </row>
    <row r="109" spans="1:3" x14ac:dyDescent="0.25">
      <c r="B109" s="2" t="str">
        <f>""</f>
        <v/>
      </c>
      <c r="C109" s="2" t="str">
        <f>"(0.0417)"</f>
        <v>(0.0417)</v>
      </c>
    </row>
    <row r="110" spans="1:3" x14ac:dyDescent="0.25">
      <c r="A110" t="s">
        <v>55</v>
      </c>
      <c r="B110" s="2" t="str">
        <f>""</f>
        <v/>
      </c>
      <c r="C110" s="2" t="str">
        <f>"-0.0152"</f>
        <v>-0.0152</v>
      </c>
    </row>
    <row r="111" spans="1:3" x14ac:dyDescent="0.25">
      <c r="B111" s="2" t="str">
        <f>""</f>
        <v/>
      </c>
      <c r="C111" s="2" t="str">
        <f>"(0.0308)"</f>
        <v>(0.0308)</v>
      </c>
    </row>
    <row r="112" spans="1:3" x14ac:dyDescent="0.25">
      <c r="A112" t="s">
        <v>56</v>
      </c>
      <c r="B112" s="2" t="str">
        <f>""</f>
        <v/>
      </c>
      <c r="C112" s="2" t="str">
        <f>"0.0517"</f>
        <v>0.0517</v>
      </c>
    </row>
    <row r="113" spans="1:3" x14ac:dyDescent="0.25">
      <c r="B113" s="2" t="str">
        <f>""</f>
        <v/>
      </c>
      <c r="C113" s="2" t="str">
        <f>"(0.0339)"</f>
        <v>(0.0339)</v>
      </c>
    </row>
    <row r="114" spans="1:3" x14ac:dyDescent="0.25">
      <c r="A114" t="s">
        <v>57</v>
      </c>
      <c r="B114" s="2" t="str">
        <f>""</f>
        <v/>
      </c>
      <c r="C114" s="2" t="str">
        <f>"0.0591"</f>
        <v>0.0591</v>
      </c>
    </row>
    <row r="115" spans="1:3" x14ac:dyDescent="0.25">
      <c r="B115" s="2" t="str">
        <f>""</f>
        <v/>
      </c>
      <c r="C115" s="2" t="str">
        <f>"(0.0435)"</f>
        <v>(0.0435)</v>
      </c>
    </row>
    <row r="116" spans="1:3" x14ac:dyDescent="0.25">
      <c r="A116" t="s">
        <v>58</v>
      </c>
      <c r="B116" s="2" t="str">
        <f>""</f>
        <v/>
      </c>
      <c r="C116" s="2" t="str">
        <f>"0.0516*"</f>
        <v>0.0516*</v>
      </c>
    </row>
    <row r="117" spans="1:3" x14ac:dyDescent="0.25">
      <c r="B117" s="2" t="str">
        <f>""</f>
        <v/>
      </c>
      <c r="C117" s="2" t="str">
        <f>"(0.0245)"</f>
        <v>(0.0245)</v>
      </c>
    </row>
    <row r="118" spans="1:3" x14ac:dyDescent="0.25">
      <c r="A118" t="s">
        <v>59</v>
      </c>
      <c r="B118" s="2" t="str">
        <f>""</f>
        <v/>
      </c>
      <c r="C118" s="2" t="str">
        <f>"0.0238"</f>
        <v>0.0238</v>
      </c>
    </row>
    <row r="119" spans="1:3" x14ac:dyDescent="0.25">
      <c r="B119" s="2" t="str">
        <f>""</f>
        <v/>
      </c>
      <c r="C119" s="2" t="str">
        <f>"(0.0548)"</f>
        <v>(0.0548)</v>
      </c>
    </row>
    <row r="120" spans="1:3" x14ac:dyDescent="0.25">
      <c r="A120" t="s">
        <v>60</v>
      </c>
      <c r="B120" s="2" t="str">
        <f>""</f>
        <v/>
      </c>
      <c r="C120" s="2" t="str">
        <f>"0.0624"</f>
        <v>0.0624</v>
      </c>
    </row>
    <row r="121" spans="1:3" x14ac:dyDescent="0.25">
      <c r="B121" s="2" t="str">
        <f>""</f>
        <v/>
      </c>
      <c r="C121" s="2" t="str">
        <f>"(0.0414)"</f>
        <v>(0.0414)</v>
      </c>
    </row>
    <row r="122" spans="1:3" x14ac:dyDescent="0.25">
      <c r="A122" t="s">
        <v>61</v>
      </c>
      <c r="B122" s="2" t="str">
        <f>""</f>
        <v/>
      </c>
      <c r="C122" s="2" t="str">
        <f>"-0.00307"</f>
        <v>-0.00307</v>
      </c>
    </row>
    <row r="123" spans="1:3" x14ac:dyDescent="0.25">
      <c r="B123" s="2" t="str">
        <f>""</f>
        <v/>
      </c>
      <c r="C123" s="2" t="str">
        <f>"(0.0458)"</f>
        <v>(0.0458)</v>
      </c>
    </row>
    <row r="124" spans="1:3" x14ac:dyDescent="0.25">
      <c r="A124" t="s">
        <v>62</v>
      </c>
      <c r="B124" s="2" t="str">
        <f>""</f>
        <v/>
      </c>
      <c r="C124" s="2" t="str">
        <f>"0.000436"</f>
        <v>0.000436</v>
      </c>
    </row>
    <row r="125" spans="1:3" x14ac:dyDescent="0.25">
      <c r="B125" s="2" t="str">
        <f>""</f>
        <v/>
      </c>
      <c r="C125" s="2" t="str">
        <f>"(0.0216)"</f>
        <v>(0.0216)</v>
      </c>
    </row>
    <row r="126" spans="1:3" x14ac:dyDescent="0.25">
      <c r="A126" t="s">
        <v>63</v>
      </c>
      <c r="B126" s="2" t="str">
        <f>""</f>
        <v/>
      </c>
      <c r="C126" s="2" t="str">
        <f>"-0.0397"</f>
        <v>-0.0397</v>
      </c>
    </row>
    <row r="127" spans="1:3" x14ac:dyDescent="0.25">
      <c r="B127" s="2" t="str">
        <f>""</f>
        <v/>
      </c>
      <c r="C127" s="2" t="str">
        <f>"(0.0425)"</f>
        <v>(0.0425)</v>
      </c>
    </row>
    <row r="128" spans="1:3" x14ac:dyDescent="0.25">
      <c r="A128" t="s">
        <v>64</v>
      </c>
      <c r="B128" s="2" t="str">
        <f>""</f>
        <v/>
      </c>
      <c r="C128" s="2" t="str">
        <f>"-0.0271"</f>
        <v>-0.0271</v>
      </c>
    </row>
    <row r="129" spans="1:3" x14ac:dyDescent="0.25">
      <c r="B129" s="2" t="str">
        <f>""</f>
        <v/>
      </c>
      <c r="C129" s="2" t="str">
        <f>"(0.0636)"</f>
        <v>(0.0636)</v>
      </c>
    </row>
    <row r="130" spans="1:3" x14ac:dyDescent="0.25">
      <c r="A130" t="s">
        <v>65</v>
      </c>
      <c r="B130" s="2" t="str">
        <f>""</f>
        <v/>
      </c>
      <c r="C130" s="2" t="str">
        <f>"-0.0327"</f>
        <v>-0.0327</v>
      </c>
    </row>
    <row r="131" spans="1:3" x14ac:dyDescent="0.25">
      <c r="B131" s="2" t="str">
        <f>""</f>
        <v/>
      </c>
      <c r="C131" s="2" t="str">
        <f>"(0.0258)"</f>
        <v>(0.0258)</v>
      </c>
    </row>
    <row r="132" spans="1:3" x14ac:dyDescent="0.25">
      <c r="A132" t="s">
        <v>66</v>
      </c>
      <c r="B132" s="2" t="str">
        <f>""</f>
        <v/>
      </c>
      <c r="C132" s="2" t="str">
        <f>"0.000826"</f>
        <v>0.000826</v>
      </c>
    </row>
    <row r="133" spans="1:3" x14ac:dyDescent="0.25">
      <c r="B133" s="2" t="str">
        <f>""</f>
        <v/>
      </c>
      <c r="C133" s="2" t="str">
        <f>"(0.0409)"</f>
        <v>(0.0409)</v>
      </c>
    </row>
    <row r="134" spans="1:3" x14ac:dyDescent="0.25">
      <c r="A134" t="s">
        <v>67</v>
      </c>
      <c r="B134" s="2" t="str">
        <f>""</f>
        <v/>
      </c>
      <c r="C134" s="2" t="str">
        <f>"0.0344"</f>
        <v>0.0344</v>
      </c>
    </row>
    <row r="135" spans="1:3" x14ac:dyDescent="0.25">
      <c r="B135" s="2" t="str">
        <f>""</f>
        <v/>
      </c>
      <c r="C135" s="2" t="str">
        <f>"(0.0300)"</f>
        <v>(0.0300)</v>
      </c>
    </row>
    <row r="136" spans="1:3" x14ac:dyDescent="0.25">
      <c r="A136" t="s">
        <v>68</v>
      </c>
      <c r="B136" s="2" t="str">
        <f>""</f>
        <v/>
      </c>
      <c r="C136" s="2" t="str">
        <f>"0.124***"</f>
        <v>0.124***</v>
      </c>
    </row>
    <row r="137" spans="1:3" x14ac:dyDescent="0.25">
      <c r="B137" s="2" t="str">
        <f>""</f>
        <v/>
      </c>
      <c r="C137" s="2" t="str">
        <f>"(0.0218)"</f>
        <v>(0.0218)</v>
      </c>
    </row>
    <row r="138" spans="1:3" x14ac:dyDescent="0.25">
      <c r="A138" t="s">
        <v>69</v>
      </c>
      <c r="B138" s="2" t="str">
        <f>""</f>
        <v/>
      </c>
      <c r="C138" s="2" t="str">
        <f>"-0.0540"</f>
        <v>-0.0540</v>
      </c>
    </row>
    <row r="139" spans="1:3" x14ac:dyDescent="0.25">
      <c r="B139" s="2" t="str">
        <f>""</f>
        <v/>
      </c>
      <c r="C139" s="2" t="str">
        <f>"(0.0279)"</f>
        <v>(0.0279)</v>
      </c>
    </row>
    <row r="140" spans="1:3" x14ac:dyDescent="0.25">
      <c r="A140" t="s">
        <v>70</v>
      </c>
      <c r="B140" s="2" t="str">
        <f>""</f>
        <v/>
      </c>
      <c r="C140" s="2" t="str">
        <f>"0.0953***"</f>
        <v>0.0953***</v>
      </c>
    </row>
    <row r="141" spans="1:3" x14ac:dyDescent="0.25">
      <c r="B141" s="2" t="str">
        <f>""</f>
        <v/>
      </c>
      <c r="C141" s="2" t="str">
        <f>"(0.0244)"</f>
        <v>(0.0244)</v>
      </c>
    </row>
    <row r="142" spans="1:3" x14ac:dyDescent="0.25">
      <c r="A142" t="s">
        <v>71</v>
      </c>
      <c r="B142" s="2" t="str">
        <f>""</f>
        <v/>
      </c>
      <c r="C142" s="2" t="str">
        <f>"-0.0122"</f>
        <v>-0.0122</v>
      </c>
    </row>
    <row r="143" spans="1:3" x14ac:dyDescent="0.25">
      <c r="A143" t="str">
        <f>""</f>
        <v/>
      </c>
      <c r="B143" s="2" t="str">
        <f>""</f>
        <v/>
      </c>
      <c r="C143" s="2" t="str">
        <f>"(0.0207)"</f>
        <v>(0.0207)</v>
      </c>
    </row>
    <row r="144" spans="1:3" x14ac:dyDescent="0.25">
      <c r="A144" t="s">
        <v>72</v>
      </c>
      <c r="B144" s="2" t="str">
        <f>""</f>
        <v/>
      </c>
      <c r="C144" s="2" t="str">
        <f>"0.0386*"</f>
        <v>0.0386*</v>
      </c>
    </row>
    <row r="145" spans="1:3" x14ac:dyDescent="0.25">
      <c r="A145" t="str">
        <f>""</f>
        <v/>
      </c>
      <c r="B145" s="2" t="str">
        <f>""</f>
        <v/>
      </c>
      <c r="C145" s="2" t="str">
        <f>"(0.0184)"</f>
        <v>(0.0184)</v>
      </c>
    </row>
    <row r="146" spans="1:3" x14ac:dyDescent="0.25">
      <c r="A146" t="s">
        <v>73</v>
      </c>
      <c r="B146" s="2" t="str">
        <f>""</f>
        <v/>
      </c>
      <c r="C146" s="2" t="str">
        <f>"-0.0145"</f>
        <v>-0.0145</v>
      </c>
    </row>
    <row r="147" spans="1:3" x14ac:dyDescent="0.25">
      <c r="A147" t="str">
        <f>""</f>
        <v/>
      </c>
      <c r="B147" s="2" t="str">
        <f>""</f>
        <v/>
      </c>
      <c r="C147" s="2" t="str">
        <f>"(0.0385)"</f>
        <v>(0.0385)</v>
      </c>
    </row>
    <row r="148" spans="1:3" x14ac:dyDescent="0.25">
      <c r="A148" t="s">
        <v>74</v>
      </c>
      <c r="B148" s="2" t="str">
        <f>""</f>
        <v/>
      </c>
      <c r="C148" s="2" t="str">
        <f>"0.166***"</f>
        <v>0.166***</v>
      </c>
    </row>
    <row r="149" spans="1:3" x14ac:dyDescent="0.25">
      <c r="A149" t="str">
        <f>""</f>
        <v/>
      </c>
      <c r="B149" s="2" t="str">
        <f>""</f>
        <v/>
      </c>
      <c r="C149" s="2" t="str">
        <f>"(0.0416)"</f>
        <v>(0.0416)</v>
      </c>
    </row>
    <row r="150" spans="1:3" x14ac:dyDescent="0.25">
      <c r="A150" t="s">
        <v>75</v>
      </c>
      <c r="B150" s="2" t="str">
        <f>""</f>
        <v/>
      </c>
      <c r="C150" s="2" t="str">
        <f>"-0.0307"</f>
        <v>-0.0307</v>
      </c>
    </row>
    <row r="151" spans="1:3" x14ac:dyDescent="0.25">
      <c r="A151" t="str">
        <f>""</f>
        <v/>
      </c>
      <c r="B151" s="2" t="str">
        <f>""</f>
        <v/>
      </c>
      <c r="C151" s="2" t="str">
        <f>"(0.0447)"</f>
        <v>(0.0447)</v>
      </c>
    </row>
    <row r="152" spans="1:3" x14ac:dyDescent="0.25">
      <c r="A152" t="s">
        <v>76</v>
      </c>
      <c r="B152" s="2" t="str">
        <f>""</f>
        <v/>
      </c>
      <c r="C152" s="2" t="str">
        <f>"-0.00717"</f>
        <v>-0.00717</v>
      </c>
    </row>
    <row r="153" spans="1:3" x14ac:dyDescent="0.25">
      <c r="A153" t="str">
        <f>""</f>
        <v/>
      </c>
      <c r="B153" s="2" t="str">
        <f>""</f>
        <v/>
      </c>
      <c r="C153" s="2" t="str">
        <f>"(0.0184)"</f>
        <v>(0.0184)</v>
      </c>
    </row>
    <row r="154" spans="1:3" x14ac:dyDescent="0.25">
      <c r="A154" t="s">
        <v>77</v>
      </c>
      <c r="B154" s="2" t="str">
        <f>""</f>
        <v/>
      </c>
      <c r="C154" s="2" t="str">
        <f>"0.0368*"</f>
        <v>0.0368*</v>
      </c>
    </row>
    <row r="155" spans="1:3" x14ac:dyDescent="0.25">
      <c r="A155" t="str">
        <f>""</f>
        <v/>
      </c>
      <c r="B155" s="2" t="str">
        <f>""</f>
        <v/>
      </c>
      <c r="C155" s="2" t="str">
        <f>"(0.0188)"</f>
        <v>(0.0188)</v>
      </c>
    </row>
    <row r="156" spans="1:3" x14ac:dyDescent="0.25">
      <c r="A156" t="s">
        <v>78</v>
      </c>
      <c r="B156" s="2" t="str">
        <f>""</f>
        <v/>
      </c>
      <c r="C156" s="2" t="str">
        <f>"0.0633*"</f>
        <v>0.0633*</v>
      </c>
    </row>
    <row r="157" spans="1:3" x14ac:dyDescent="0.25">
      <c r="A157" t="str">
        <f>""</f>
        <v/>
      </c>
      <c r="B157" s="2" t="str">
        <f>""</f>
        <v/>
      </c>
      <c r="C157" s="2" t="str">
        <f>"(0.0293)"</f>
        <v>(0.0293)</v>
      </c>
    </row>
    <row r="158" spans="1:3" x14ac:dyDescent="0.25">
      <c r="A158" t="s">
        <v>79</v>
      </c>
      <c r="B158" s="2" t="str">
        <f>""</f>
        <v/>
      </c>
      <c r="C158" s="2" t="str">
        <f>"0.0176"</f>
        <v>0.0176</v>
      </c>
    </row>
    <row r="159" spans="1:3" x14ac:dyDescent="0.25">
      <c r="A159" t="str">
        <f>""</f>
        <v/>
      </c>
      <c r="B159" s="2" t="str">
        <f>""</f>
        <v/>
      </c>
      <c r="C159" s="2" t="str">
        <f>"(0.0404)"</f>
        <v>(0.0404)</v>
      </c>
    </row>
    <row r="160" spans="1:3" x14ac:dyDescent="0.25">
      <c r="A160" t="s">
        <v>80</v>
      </c>
      <c r="B160" s="2" t="str">
        <f>""</f>
        <v/>
      </c>
      <c r="C160" s="2" t="str">
        <f>"-0.0749"</f>
        <v>-0.0749</v>
      </c>
    </row>
    <row r="161" spans="1:3" x14ac:dyDescent="0.25">
      <c r="A161" t="str">
        <f>""</f>
        <v/>
      </c>
      <c r="B161" s="2" t="str">
        <f>""</f>
        <v/>
      </c>
      <c r="C161" s="2" t="str">
        <f>"(0.0414)"</f>
        <v>(0.0414)</v>
      </c>
    </row>
    <row r="162" spans="1:3" x14ac:dyDescent="0.25">
      <c r="A162" t="s">
        <v>81</v>
      </c>
      <c r="B162" s="2" t="str">
        <f>""</f>
        <v/>
      </c>
      <c r="C162" s="2" t="str">
        <f>"0.000456"</f>
        <v>0.000456</v>
      </c>
    </row>
    <row r="163" spans="1:3" x14ac:dyDescent="0.25">
      <c r="A163" t="str">
        <f>""</f>
        <v/>
      </c>
      <c r="B163" s="2" t="str">
        <f>""</f>
        <v/>
      </c>
      <c r="C163" s="2" t="str">
        <f>"(0.0183)"</f>
        <v>(0.0183)</v>
      </c>
    </row>
    <row r="164" spans="1:3" x14ac:dyDescent="0.25">
      <c r="A164" t="s">
        <v>82</v>
      </c>
      <c r="B164" s="2" t="str">
        <f>""</f>
        <v/>
      </c>
      <c r="C164" s="2" t="str">
        <f>"0.0510**"</f>
        <v>0.0510**</v>
      </c>
    </row>
    <row r="165" spans="1:3" x14ac:dyDescent="0.25">
      <c r="A165" t="str">
        <f>""</f>
        <v/>
      </c>
      <c r="B165" s="2" t="str">
        <f>""</f>
        <v/>
      </c>
      <c r="C165" s="2" t="str">
        <f>"(0.0178)"</f>
        <v>(0.0178)</v>
      </c>
    </row>
    <row r="166" spans="1:3" x14ac:dyDescent="0.25">
      <c r="A166" t="s">
        <v>83</v>
      </c>
      <c r="B166" s="2" t="str">
        <f>""</f>
        <v/>
      </c>
      <c r="C166" s="2" t="str">
        <f>"-0.00460"</f>
        <v>-0.00460</v>
      </c>
    </row>
    <row r="167" spans="1:3" x14ac:dyDescent="0.25">
      <c r="A167" t="str">
        <f>""</f>
        <v/>
      </c>
      <c r="B167" s="2" t="str">
        <f>""</f>
        <v/>
      </c>
      <c r="C167" s="2" t="str">
        <f>"(0.0233)"</f>
        <v>(0.0233)</v>
      </c>
    </row>
    <row r="168" spans="1:3" x14ac:dyDescent="0.25">
      <c r="A168" t="s">
        <v>84</v>
      </c>
      <c r="B168" s="2" t="str">
        <f>""</f>
        <v/>
      </c>
      <c r="C168" s="2" t="str">
        <f>"-0.0277"</f>
        <v>-0.0277</v>
      </c>
    </row>
    <row r="169" spans="1:3" x14ac:dyDescent="0.25">
      <c r="A169" t="str">
        <f>""</f>
        <v/>
      </c>
      <c r="B169" s="2" t="str">
        <f>""</f>
        <v/>
      </c>
      <c r="C169" s="2" t="str">
        <f>"(0.0422)"</f>
        <v>(0.0422)</v>
      </c>
    </row>
    <row r="170" spans="1:3" x14ac:dyDescent="0.25">
      <c r="A170" t="s">
        <v>85</v>
      </c>
      <c r="B170" s="2" t="str">
        <f>""</f>
        <v/>
      </c>
      <c r="C170" s="2" t="str">
        <f>"0.0258"</f>
        <v>0.0258</v>
      </c>
    </row>
    <row r="171" spans="1:3" x14ac:dyDescent="0.25">
      <c r="A171" t="str">
        <f>""</f>
        <v/>
      </c>
      <c r="B171" s="2" t="str">
        <f>""</f>
        <v/>
      </c>
      <c r="C171" s="2" t="str">
        <f>"(0.0307)"</f>
        <v>(0.0307)</v>
      </c>
    </row>
    <row r="172" spans="1:3" x14ac:dyDescent="0.25">
      <c r="A172" t="s">
        <v>86</v>
      </c>
      <c r="B172" s="2" t="str">
        <f>""</f>
        <v/>
      </c>
      <c r="C172" s="2" t="str">
        <f>"-0.00304"</f>
        <v>-0.00304</v>
      </c>
    </row>
    <row r="173" spans="1:3" x14ac:dyDescent="0.25">
      <c r="A173" t="str">
        <f>""</f>
        <v/>
      </c>
      <c r="B173" s="2" t="str">
        <f>""</f>
        <v/>
      </c>
      <c r="C173" s="2" t="str">
        <f>"(0.0185)"</f>
        <v>(0.0185)</v>
      </c>
    </row>
    <row r="174" spans="1:3" x14ac:dyDescent="0.25">
      <c r="A174" t="s">
        <v>87</v>
      </c>
      <c r="B174" s="2" t="str">
        <f>""</f>
        <v/>
      </c>
      <c r="C174" s="2" t="str">
        <f>"0.0245"</f>
        <v>0.0245</v>
      </c>
    </row>
    <row r="175" spans="1:3" x14ac:dyDescent="0.25">
      <c r="A175" t="str">
        <f>""</f>
        <v/>
      </c>
      <c r="B175" s="2" t="str">
        <f>""</f>
        <v/>
      </c>
      <c r="C175" s="2" t="str">
        <f>"(0.0566)"</f>
        <v>(0.0566)</v>
      </c>
    </row>
    <row r="176" spans="1:3" x14ac:dyDescent="0.25">
      <c r="A176" t="s">
        <v>88</v>
      </c>
      <c r="B176" s="2" t="str">
        <f>""</f>
        <v/>
      </c>
      <c r="C176" s="2" t="str">
        <f>"0.0628"</f>
        <v>0.0628</v>
      </c>
    </row>
    <row r="177" spans="1:3" x14ac:dyDescent="0.25">
      <c r="A177" t="str">
        <f>""</f>
        <v/>
      </c>
      <c r="B177" s="2" t="str">
        <f>""</f>
        <v/>
      </c>
      <c r="C177" s="2" t="str">
        <f>"(0.0528)"</f>
        <v>(0.0528)</v>
      </c>
    </row>
    <row r="178" spans="1:3" x14ac:dyDescent="0.25">
      <c r="A178" t="s">
        <v>89</v>
      </c>
      <c r="B178" s="2" t="str">
        <f>""</f>
        <v/>
      </c>
      <c r="C178" s="2" t="str">
        <f>"-0.0316"</f>
        <v>-0.0316</v>
      </c>
    </row>
    <row r="179" spans="1:3" x14ac:dyDescent="0.25">
      <c r="A179" t="str">
        <f>""</f>
        <v/>
      </c>
      <c r="B179" s="2" t="str">
        <f>""</f>
        <v/>
      </c>
      <c r="C179" s="2" t="str">
        <f>"(0.0423)"</f>
        <v>(0.0423)</v>
      </c>
    </row>
    <row r="180" spans="1:3" x14ac:dyDescent="0.25">
      <c r="A180" t="s">
        <v>90</v>
      </c>
      <c r="B180" s="2" t="str">
        <f>""</f>
        <v/>
      </c>
      <c r="C180" s="2" t="str">
        <f>"0.0423"</f>
        <v>0.0423</v>
      </c>
    </row>
    <row r="181" spans="1:3" x14ac:dyDescent="0.25">
      <c r="A181" t="str">
        <f>""</f>
        <v/>
      </c>
      <c r="B181" s="2" t="str">
        <f>""</f>
        <v/>
      </c>
      <c r="C181" s="2" t="str">
        <f>"(0.0360)"</f>
        <v>(0.0360)</v>
      </c>
    </row>
    <row r="182" spans="1:3" x14ac:dyDescent="0.25">
      <c r="A182" t="s">
        <v>91</v>
      </c>
      <c r="B182" s="2" t="str">
        <f>""</f>
        <v/>
      </c>
      <c r="C182" s="2" t="str">
        <f>"0.0271"</f>
        <v>0.0271</v>
      </c>
    </row>
    <row r="183" spans="1:3" x14ac:dyDescent="0.25">
      <c r="A183" t="str">
        <f>""</f>
        <v/>
      </c>
      <c r="B183" s="2" t="str">
        <f>""</f>
        <v/>
      </c>
      <c r="C183" s="2" t="str">
        <f>"(0.135)"</f>
        <v>(0.135)</v>
      </c>
    </row>
    <row r="184" spans="1:3" x14ac:dyDescent="0.25">
      <c r="A184" t="s">
        <v>92</v>
      </c>
      <c r="B184" s="2" t="str">
        <f>""</f>
        <v/>
      </c>
      <c r="C184" s="2" t="str">
        <f>"0.0543"</f>
        <v>0.0543</v>
      </c>
    </row>
    <row r="185" spans="1:3" x14ac:dyDescent="0.25">
      <c r="A185" t="str">
        <f>""</f>
        <v/>
      </c>
      <c r="B185" s="2" t="str">
        <f>""</f>
        <v/>
      </c>
      <c r="C185" s="2" t="str">
        <f>"(0.0490)"</f>
        <v>(0.0490)</v>
      </c>
    </row>
    <row r="186" spans="1:3" x14ac:dyDescent="0.25">
      <c r="A186" t="s">
        <v>93</v>
      </c>
      <c r="B186" s="2" t="str">
        <f>""</f>
        <v/>
      </c>
      <c r="C186" s="2" t="str">
        <f>"0.0254"</f>
        <v>0.0254</v>
      </c>
    </row>
    <row r="187" spans="1:3" x14ac:dyDescent="0.25">
      <c r="A187" t="str">
        <f>""</f>
        <v/>
      </c>
      <c r="B187" s="2" t="str">
        <f>""</f>
        <v/>
      </c>
      <c r="C187" s="2" t="str">
        <f>"(0.0591)"</f>
        <v>(0.0591)</v>
      </c>
    </row>
    <row r="188" spans="1:3" x14ac:dyDescent="0.25">
      <c r="A188" t="s">
        <v>94</v>
      </c>
      <c r="B188" s="2" t="str">
        <f>""</f>
        <v/>
      </c>
      <c r="C188" s="2" t="str">
        <f>"0.0126"</f>
        <v>0.0126</v>
      </c>
    </row>
    <row r="189" spans="1:3" x14ac:dyDescent="0.25">
      <c r="A189" t="str">
        <f>""</f>
        <v/>
      </c>
      <c r="B189" s="2" t="str">
        <f>""</f>
        <v/>
      </c>
      <c r="C189" s="2" t="str">
        <f>"(0.0302)"</f>
        <v>(0.0302)</v>
      </c>
    </row>
    <row r="190" spans="1:3" x14ac:dyDescent="0.25">
      <c r="A190" t="s">
        <v>95</v>
      </c>
      <c r="B190" s="2" t="str">
        <f>""</f>
        <v/>
      </c>
      <c r="C190" s="2" t="str">
        <f>"-0.0103"</f>
        <v>-0.0103</v>
      </c>
    </row>
    <row r="191" spans="1:3" x14ac:dyDescent="0.25">
      <c r="A191" t="str">
        <f>""</f>
        <v/>
      </c>
      <c r="B191" s="2" t="str">
        <f>""</f>
        <v/>
      </c>
      <c r="C191" s="2" t="str">
        <f>"(0.0223)"</f>
        <v>(0.0223)</v>
      </c>
    </row>
    <row r="192" spans="1:3" x14ac:dyDescent="0.25">
      <c r="A192" t="s">
        <v>96</v>
      </c>
      <c r="B192" s="2" t="str">
        <f>""</f>
        <v/>
      </c>
      <c r="C192" s="2" t="str">
        <f>"0.0218"</f>
        <v>0.0218</v>
      </c>
    </row>
    <row r="193" spans="1:3" x14ac:dyDescent="0.25">
      <c r="A193" t="str">
        <f>""</f>
        <v/>
      </c>
      <c r="B193" s="2" t="str">
        <f>""</f>
        <v/>
      </c>
      <c r="C193" s="2" t="str">
        <f>"(0.0212)"</f>
        <v>(0.0212)</v>
      </c>
    </row>
    <row r="194" spans="1:3" x14ac:dyDescent="0.25">
      <c r="A194" t="s">
        <v>97</v>
      </c>
      <c r="B194" s="2" t="str">
        <f>""</f>
        <v/>
      </c>
      <c r="C194" s="2" t="str">
        <f>"0.0115"</f>
        <v>0.0115</v>
      </c>
    </row>
    <row r="195" spans="1:3" x14ac:dyDescent="0.25">
      <c r="A195" t="str">
        <f>""</f>
        <v/>
      </c>
      <c r="B195" s="2" t="str">
        <f>""</f>
        <v/>
      </c>
      <c r="C195" s="2" t="str">
        <f>"(0.0321)"</f>
        <v>(0.0321)</v>
      </c>
    </row>
    <row r="196" spans="1:3" x14ac:dyDescent="0.25">
      <c r="A196" t="s">
        <v>98</v>
      </c>
      <c r="B196" s="2" t="str">
        <f>""</f>
        <v/>
      </c>
      <c r="C196" s="2" t="str">
        <f>"-0.00375"</f>
        <v>-0.00375</v>
      </c>
    </row>
    <row r="197" spans="1:3" x14ac:dyDescent="0.25">
      <c r="A197" t="str">
        <f>""</f>
        <v/>
      </c>
      <c r="B197" s="2" t="str">
        <f>""</f>
        <v/>
      </c>
      <c r="C197" s="2" t="str">
        <f>"(0.0222)"</f>
        <v>(0.0222)</v>
      </c>
    </row>
    <row r="198" spans="1:3" x14ac:dyDescent="0.25">
      <c r="A198" t="s">
        <v>99</v>
      </c>
      <c r="B198" s="2" t="str">
        <f>""</f>
        <v/>
      </c>
      <c r="C198" s="2" t="str">
        <f>"0.00445"</f>
        <v>0.00445</v>
      </c>
    </row>
    <row r="199" spans="1:3" x14ac:dyDescent="0.25">
      <c r="A199" t="str">
        <f>""</f>
        <v/>
      </c>
      <c r="B199" s="2" t="str">
        <f>""</f>
        <v/>
      </c>
      <c r="C199" s="2" t="str">
        <f>"(0.0389)"</f>
        <v>(0.0389)</v>
      </c>
    </row>
    <row r="200" spans="1:3" x14ac:dyDescent="0.25">
      <c r="A200" t="s">
        <v>100</v>
      </c>
      <c r="B200" s="2" t="str">
        <f>""</f>
        <v/>
      </c>
      <c r="C200" s="2" t="str">
        <f>"0.0522"</f>
        <v>0.0522</v>
      </c>
    </row>
    <row r="201" spans="1:3" x14ac:dyDescent="0.25">
      <c r="A201" t="str">
        <f>""</f>
        <v/>
      </c>
      <c r="B201" s="2" t="str">
        <f>""</f>
        <v/>
      </c>
      <c r="C201" s="2" t="str">
        <f>"(0.0342)"</f>
        <v>(0.0342)</v>
      </c>
    </row>
    <row r="202" spans="1:3" x14ac:dyDescent="0.25">
      <c r="A202" t="s">
        <v>101</v>
      </c>
      <c r="B202" s="2" t="str">
        <f>""</f>
        <v/>
      </c>
      <c r="C202" s="2" t="str">
        <f>"0.00483"</f>
        <v>0.00483</v>
      </c>
    </row>
    <row r="203" spans="1:3" x14ac:dyDescent="0.25">
      <c r="A203" t="str">
        <f>""</f>
        <v/>
      </c>
      <c r="B203" s="2" t="str">
        <f>""</f>
        <v/>
      </c>
      <c r="C203" s="2" t="str">
        <f>"(0.0350)"</f>
        <v>(0.0350)</v>
      </c>
    </row>
    <row r="204" spans="1:3" x14ac:dyDescent="0.25">
      <c r="A204" t="s">
        <v>102</v>
      </c>
      <c r="B204" s="2" t="str">
        <f>""</f>
        <v/>
      </c>
      <c r="C204" s="2" t="str">
        <f>"0.0126"</f>
        <v>0.0126</v>
      </c>
    </row>
    <row r="205" spans="1:3" x14ac:dyDescent="0.25">
      <c r="A205" t="str">
        <f>""</f>
        <v/>
      </c>
      <c r="B205" s="2" t="str">
        <f>""</f>
        <v/>
      </c>
      <c r="C205" s="2" t="str">
        <f>"(0.0433)"</f>
        <v>(0.0433)</v>
      </c>
    </row>
    <row r="206" spans="1:3" x14ac:dyDescent="0.25">
      <c r="A206" t="s">
        <v>103</v>
      </c>
      <c r="B206" s="2" t="str">
        <f>""</f>
        <v/>
      </c>
      <c r="C206" s="2" t="str">
        <f>"0.0816"</f>
        <v>0.0816</v>
      </c>
    </row>
    <row r="207" spans="1:3" x14ac:dyDescent="0.25">
      <c r="A207" t="str">
        <f>""</f>
        <v/>
      </c>
      <c r="B207" s="2" t="str">
        <f>""</f>
        <v/>
      </c>
      <c r="C207" s="2" t="str">
        <f>"(0.0444)"</f>
        <v>(0.0444)</v>
      </c>
    </row>
    <row r="208" spans="1:3" x14ac:dyDescent="0.25">
      <c r="A208" t="s">
        <v>104</v>
      </c>
      <c r="B208" s="2" t="str">
        <f>""</f>
        <v/>
      </c>
      <c r="C208" s="2" t="str">
        <f>"-0.0407"</f>
        <v>-0.0407</v>
      </c>
    </row>
    <row r="209" spans="1:3" x14ac:dyDescent="0.25">
      <c r="A209" t="str">
        <f>""</f>
        <v/>
      </c>
      <c r="B209" s="2" t="str">
        <f>""</f>
        <v/>
      </c>
      <c r="C209" s="2" t="str">
        <f>"(0.0318)"</f>
        <v>(0.0318)</v>
      </c>
    </row>
    <row r="210" spans="1:3" x14ac:dyDescent="0.25">
      <c r="A210" t="s">
        <v>105</v>
      </c>
      <c r="B210" s="2" t="str">
        <f>""</f>
        <v/>
      </c>
      <c r="C210" s="2" t="str">
        <f>"0.0101"</f>
        <v>0.0101</v>
      </c>
    </row>
    <row r="211" spans="1:3" x14ac:dyDescent="0.25">
      <c r="A211" t="str">
        <f>""</f>
        <v/>
      </c>
      <c r="B211" s="2" t="str">
        <f>""</f>
        <v/>
      </c>
      <c r="C211" s="2" t="str">
        <f>"(0.0182)"</f>
        <v>(0.0182)</v>
      </c>
    </row>
    <row r="212" spans="1:3" x14ac:dyDescent="0.25">
      <c r="A212" t="s">
        <v>106</v>
      </c>
      <c r="B212" s="2" t="str">
        <f>""</f>
        <v/>
      </c>
      <c r="C212" s="2" t="str">
        <f>"0.0163"</f>
        <v>0.0163</v>
      </c>
    </row>
    <row r="213" spans="1:3" x14ac:dyDescent="0.25">
      <c r="A213" t="str">
        <f>""</f>
        <v/>
      </c>
      <c r="B213" s="2" t="str">
        <f>""</f>
        <v/>
      </c>
      <c r="C213" s="2" t="str">
        <f>"(0.0204)"</f>
        <v>(0.0204)</v>
      </c>
    </row>
    <row r="214" spans="1:3" x14ac:dyDescent="0.25">
      <c r="A214" t="s">
        <v>107</v>
      </c>
      <c r="B214" s="2" t="str">
        <f>""</f>
        <v/>
      </c>
      <c r="C214" s="2" t="str">
        <f>"-0.0125"</f>
        <v>-0.0125</v>
      </c>
    </row>
    <row r="215" spans="1:3" x14ac:dyDescent="0.25">
      <c r="A215" t="str">
        <f>""</f>
        <v/>
      </c>
      <c r="B215" s="2" t="str">
        <f>""</f>
        <v/>
      </c>
      <c r="C215" s="2" t="str">
        <f>"(0.0212)"</f>
        <v>(0.0212)</v>
      </c>
    </row>
    <row r="216" spans="1:3" x14ac:dyDescent="0.25">
      <c r="A216" t="s">
        <v>108</v>
      </c>
      <c r="B216" s="2" t="str">
        <f>""</f>
        <v/>
      </c>
      <c r="C216" s="2" t="str">
        <f>"0.00532"</f>
        <v>0.00532</v>
      </c>
    </row>
    <row r="217" spans="1:3" x14ac:dyDescent="0.25">
      <c r="A217" t="str">
        <f>""</f>
        <v/>
      </c>
      <c r="B217" s="2" t="str">
        <f>""</f>
        <v/>
      </c>
      <c r="C217" s="2" t="str">
        <f>"(0.0304)"</f>
        <v>(0.0304)</v>
      </c>
    </row>
    <row r="218" spans="1:3" x14ac:dyDescent="0.25">
      <c r="A218" t="s">
        <v>109</v>
      </c>
      <c r="B218" s="2" t="str">
        <f>""</f>
        <v/>
      </c>
      <c r="C218" s="2" t="str">
        <f>"0.0358*"</f>
        <v>0.0358*</v>
      </c>
    </row>
    <row r="219" spans="1:3" x14ac:dyDescent="0.25">
      <c r="A219" t="str">
        <f>""</f>
        <v/>
      </c>
      <c r="B219" s="2" t="str">
        <f>""</f>
        <v/>
      </c>
      <c r="C219" s="2" t="str">
        <f>"(0.0181)"</f>
        <v>(0.0181)</v>
      </c>
    </row>
    <row r="220" spans="1:3" x14ac:dyDescent="0.25">
      <c r="A220" t="s">
        <v>110</v>
      </c>
      <c r="B220" s="2" t="str">
        <f>""</f>
        <v/>
      </c>
      <c r="C220" s="2" t="str">
        <f>"0.0179"</f>
        <v>0.0179</v>
      </c>
    </row>
    <row r="221" spans="1:3" x14ac:dyDescent="0.25">
      <c r="A221" t="str">
        <f>""</f>
        <v/>
      </c>
      <c r="B221" s="2" t="str">
        <f>""</f>
        <v/>
      </c>
      <c r="C221" s="2" t="str">
        <f>"(0.0200)"</f>
        <v>(0.0200)</v>
      </c>
    </row>
    <row r="222" spans="1:3" x14ac:dyDescent="0.25">
      <c r="A222" t="s">
        <v>111</v>
      </c>
      <c r="B222" s="2" t="str">
        <f>""</f>
        <v/>
      </c>
      <c r="C222" s="2" t="str">
        <f>"-0.0485"</f>
        <v>-0.0485</v>
      </c>
    </row>
    <row r="223" spans="1:3" x14ac:dyDescent="0.25">
      <c r="A223" t="str">
        <f>""</f>
        <v/>
      </c>
      <c r="B223" s="2" t="str">
        <f>""</f>
        <v/>
      </c>
      <c r="C223" s="2" t="str">
        <f>"(0.0437)"</f>
        <v>(0.0437)</v>
      </c>
    </row>
    <row r="224" spans="1:3" x14ac:dyDescent="0.25">
      <c r="A224" t="s">
        <v>112</v>
      </c>
      <c r="B224" s="2" t="str">
        <f>""</f>
        <v/>
      </c>
      <c r="C224" s="2" t="str">
        <f>"0.00373"</f>
        <v>0.00373</v>
      </c>
    </row>
    <row r="225" spans="1:3" x14ac:dyDescent="0.25">
      <c r="A225" t="str">
        <f>""</f>
        <v/>
      </c>
      <c r="B225" s="2" t="str">
        <f>""</f>
        <v/>
      </c>
      <c r="C225" s="2" t="str">
        <f>"(0.0219)"</f>
        <v>(0.0219)</v>
      </c>
    </row>
    <row r="226" spans="1:3" x14ac:dyDescent="0.25">
      <c r="A226" t="s">
        <v>113</v>
      </c>
      <c r="B226" s="2" t="str">
        <f>""</f>
        <v/>
      </c>
      <c r="C226" s="2" t="str">
        <f>"-0.0195"</f>
        <v>-0.0195</v>
      </c>
    </row>
    <row r="227" spans="1:3" x14ac:dyDescent="0.25">
      <c r="A227" t="str">
        <f>""</f>
        <v/>
      </c>
      <c r="B227" s="2" t="str">
        <f>""</f>
        <v/>
      </c>
      <c r="C227" s="2" t="str">
        <f>"(0.0185)"</f>
        <v>(0.0185)</v>
      </c>
    </row>
    <row r="228" spans="1:3" x14ac:dyDescent="0.25">
      <c r="A228" t="s">
        <v>114</v>
      </c>
      <c r="B228" s="2" t="str">
        <f>""</f>
        <v/>
      </c>
      <c r="C228" s="2" t="str">
        <f>"-0.00876"</f>
        <v>-0.00876</v>
      </c>
    </row>
    <row r="229" spans="1:3" x14ac:dyDescent="0.25">
      <c r="A229" t="str">
        <f>""</f>
        <v/>
      </c>
      <c r="B229" s="2" t="str">
        <f>""</f>
        <v/>
      </c>
      <c r="C229" s="2" t="str">
        <f>"(0.0432)"</f>
        <v>(0.0432)</v>
      </c>
    </row>
    <row r="230" spans="1:3" x14ac:dyDescent="0.25">
      <c r="A230" t="str">
        <f>"Observations"</f>
        <v>Observations</v>
      </c>
      <c r="B230" s="2" t="str">
        <f>"68477"</f>
        <v>68477</v>
      </c>
      <c r="C230" s="2" t="str">
        <f>"68477"</f>
        <v>68477</v>
      </c>
    </row>
  </sheetData>
  <mergeCells count="4">
    <mergeCell ref="B2:C2"/>
    <mergeCell ref="A1:XFD1"/>
    <mergeCell ref="F4:L7"/>
    <mergeCell ref="F9:L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EED4F-998E-4CCD-97D3-B52C576139D1}">
  <dimension ref="A1:L230"/>
  <sheetViews>
    <sheetView workbookViewId="0">
      <selection activeCell="A2" sqref="A2"/>
    </sheetView>
  </sheetViews>
  <sheetFormatPr defaultRowHeight="15" x14ac:dyDescent="0.25"/>
  <cols>
    <col min="1" max="1" width="47.5703125" bestFit="1" customWidth="1"/>
    <col min="2" max="3" width="11.28515625" bestFit="1" customWidth="1"/>
  </cols>
  <sheetData>
    <row r="1" spans="1:12" s="10" customFormat="1" x14ac:dyDescent="0.25">
      <c r="A1" s="10" t="s">
        <v>116</v>
      </c>
    </row>
    <row r="2" spans="1:12" x14ac:dyDescent="0.25">
      <c r="A2" s="4"/>
      <c r="B2" s="2"/>
      <c r="C2" s="2"/>
    </row>
    <row r="3" spans="1:12" x14ac:dyDescent="0.25">
      <c r="A3" s="4" t="s">
        <v>23</v>
      </c>
      <c r="B3" s="6" t="s">
        <v>2</v>
      </c>
      <c r="C3" s="6" t="s">
        <v>3</v>
      </c>
      <c r="F3" s="5" t="s">
        <v>1</v>
      </c>
      <c r="G3" s="3"/>
      <c r="H3" s="3"/>
      <c r="I3" s="3"/>
      <c r="J3" s="3"/>
      <c r="K3" s="3"/>
    </row>
    <row r="4" spans="1:12" x14ac:dyDescent="0.25">
      <c r="A4" t="s">
        <v>7</v>
      </c>
      <c r="B4" s="2" t="str">
        <f>"-0.0322*"</f>
        <v>-0.0322*</v>
      </c>
      <c r="C4" s="2" t="str">
        <f>"-0.0254"</f>
        <v>-0.0254</v>
      </c>
      <c r="F4" s="9" t="s">
        <v>117</v>
      </c>
      <c r="G4" s="9"/>
      <c r="H4" s="9"/>
      <c r="I4" s="9"/>
      <c r="J4" s="9"/>
      <c r="K4" s="9"/>
      <c r="L4" s="9"/>
    </row>
    <row r="5" spans="1:12" x14ac:dyDescent="0.25">
      <c r="A5" t="s">
        <v>126</v>
      </c>
      <c r="B5" s="2" t="str">
        <f>"(0.0149)"</f>
        <v>(0.0149)</v>
      </c>
      <c r="C5" s="2" t="str">
        <f>"(0.0151)"</f>
        <v>(0.0151)</v>
      </c>
      <c r="F5" s="9"/>
      <c r="G5" s="9"/>
      <c r="H5" s="9"/>
      <c r="I5" s="9"/>
      <c r="J5" s="9"/>
      <c r="K5" s="9"/>
      <c r="L5" s="9"/>
    </row>
    <row r="6" spans="1:12" x14ac:dyDescent="0.25">
      <c r="A6" t="s">
        <v>125</v>
      </c>
      <c r="B6" s="2" t="str">
        <f>"0.00846"</f>
        <v>0.00846</v>
      </c>
      <c r="C6" s="2" t="str">
        <f>"0.00873"</f>
        <v>0.00873</v>
      </c>
      <c r="F6" s="9"/>
      <c r="G6" s="9"/>
      <c r="H6" s="9"/>
      <c r="I6" s="9"/>
      <c r="J6" s="9"/>
      <c r="K6" s="9"/>
      <c r="L6" s="9"/>
    </row>
    <row r="7" spans="1:12" x14ac:dyDescent="0.25">
      <c r="A7" t="s">
        <v>126</v>
      </c>
      <c r="B7" s="2" t="str">
        <f>"(0.00667)"</f>
        <v>(0.00667)</v>
      </c>
      <c r="C7" s="2" t="str">
        <f>"(0.00666)"</f>
        <v>(0.00666)</v>
      </c>
      <c r="F7" s="9"/>
      <c r="G7" s="9"/>
      <c r="H7" s="9"/>
      <c r="I7" s="9"/>
      <c r="J7" s="9"/>
      <c r="K7" s="9"/>
      <c r="L7" s="9"/>
    </row>
    <row r="8" spans="1:12" x14ac:dyDescent="0.25">
      <c r="A8" t="s">
        <v>127</v>
      </c>
      <c r="B8" s="2" t="str">
        <f>"-0.00831"</f>
        <v>-0.00831</v>
      </c>
      <c r="C8" s="2" t="str">
        <f>"-0.00891"</f>
        <v>-0.00891</v>
      </c>
      <c r="F8" s="3"/>
      <c r="G8" s="3"/>
      <c r="H8" s="3"/>
      <c r="I8" s="3"/>
      <c r="J8" s="3"/>
      <c r="K8" s="3"/>
    </row>
    <row r="9" spans="1:12" x14ac:dyDescent="0.25">
      <c r="A9" t="s">
        <v>126</v>
      </c>
      <c r="B9" s="2" t="str">
        <f>"(0.00667)"</f>
        <v>(0.00667)</v>
      </c>
      <c r="C9" s="2" t="str">
        <f>"(0.00667)"</f>
        <v>(0.00667)</v>
      </c>
      <c r="F9" s="9" t="s">
        <v>135</v>
      </c>
      <c r="G9" s="9"/>
      <c r="H9" s="9"/>
      <c r="I9" s="9"/>
      <c r="J9" s="9"/>
      <c r="K9" s="9"/>
      <c r="L9" s="9"/>
    </row>
    <row r="10" spans="1:12" x14ac:dyDescent="0.25">
      <c r="A10" t="s">
        <v>128</v>
      </c>
      <c r="B10" s="2" t="str">
        <f>"0.0215**"</f>
        <v>0.0215**</v>
      </c>
      <c r="C10" s="2" t="str">
        <f>"0.0212**"</f>
        <v>0.0212**</v>
      </c>
      <c r="F10" s="9"/>
      <c r="G10" s="9"/>
      <c r="H10" s="9"/>
      <c r="I10" s="9"/>
      <c r="J10" s="9"/>
      <c r="K10" s="9"/>
      <c r="L10" s="9"/>
    </row>
    <row r="11" spans="1:12" x14ac:dyDescent="0.25">
      <c r="A11" t="s">
        <v>126</v>
      </c>
      <c r="B11" s="2" t="str">
        <f>"(0.00694)"</f>
        <v>(0.00694)</v>
      </c>
      <c r="C11" s="2" t="str">
        <f>"(0.00693)"</f>
        <v>(0.00693)</v>
      </c>
      <c r="F11" s="9"/>
      <c r="G11" s="9"/>
      <c r="H11" s="9"/>
      <c r="I11" s="9"/>
      <c r="J11" s="9"/>
      <c r="K11" s="9"/>
      <c r="L11" s="9"/>
    </row>
    <row r="12" spans="1:12" x14ac:dyDescent="0.25">
      <c r="A12" t="s">
        <v>129</v>
      </c>
      <c r="B12" s="2" t="str">
        <f>"0.0286***"</f>
        <v>0.0286***</v>
      </c>
      <c r="C12" s="2" t="str">
        <f>"0.0259***"</f>
        <v>0.0259***</v>
      </c>
    </row>
    <row r="13" spans="1:12" x14ac:dyDescent="0.25">
      <c r="A13" t="s">
        <v>126</v>
      </c>
      <c r="B13" s="2" t="str">
        <f>"(0.00691)"</f>
        <v>(0.00691)</v>
      </c>
      <c r="C13" s="2" t="str">
        <f>"(0.00688)"</f>
        <v>(0.00688)</v>
      </c>
      <c r="F13" t="s">
        <v>0</v>
      </c>
    </row>
    <row r="14" spans="1:12" x14ac:dyDescent="0.25">
      <c r="A14" t="s">
        <v>130</v>
      </c>
      <c r="B14" s="2" t="str">
        <f>"-0.0164*"</f>
        <v>-0.0164*</v>
      </c>
      <c r="C14" s="2" t="str">
        <f>"-0.0117"</f>
        <v>-0.0117</v>
      </c>
    </row>
    <row r="15" spans="1:12" x14ac:dyDescent="0.25">
      <c r="A15" t="s">
        <v>126</v>
      </c>
      <c r="B15" s="2" t="str">
        <f>"(0.00644)"</f>
        <v>(0.00644)</v>
      </c>
      <c r="C15" s="2" t="str">
        <f>"(0.00644)"</f>
        <v>(0.00644)</v>
      </c>
    </row>
    <row r="16" spans="1:12" x14ac:dyDescent="0.25">
      <c r="A16" t="s">
        <v>131</v>
      </c>
      <c r="B16" s="2" t="str">
        <f>"-0.0168**"</f>
        <v>-0.0168**</v>
      </c>
      <c r="C16" s="2" t="str">
        <f>"-0.0123*"</f>
        <v>-0.0123*</v>
      </c>
    </row>
    <row r="17" spans="1:3" x14ac:dyDescent="0.25">
      <c r="A17" t="s">
        <v>126</v>
      </c>
      <c r="B17" s="2" t="str">
        <f>"(0.00601)"</f>
        <v>(0.00601)</v>
      </c>
      <c r="C17" s="2" t="str">
        <f>"(0.00601)"</f>
        <v>(0.00601)</v>
      </c>
    </row>
    <row r="18" spans="1:3" x14ac:dyDescent="0.25">
      <c r="A18" t="s">
        <v>8</v>
      </c>
      <c r="B18" s="2" t="str">
        <f>"0.0128*"</f>
        <v>0.0128*</v>
      </c>
      <c r="C18" s="2" t="str">
        <f>"0.0134*"</f>
        <v>0.0134*</v>
      </c>
    </row>
    <row r="19" spans="1:3" x14ac:dyDescent="0.25">
      <c r="A19" t="s">
        <v>126</v>
      </c>
      <c r="B19" s="2" t="str">
        <f>"(0.00622)"</f>
        <v>(0.00622)</v>
      </c>
      <c r="C19" s="2" t="str">
        <f>"(0.00618)"</f>
        <v>(0.00618)</v>
      </c>
    </row>
    <row r="20" spans="1:3" x14ac:dyDescent="0.25">
      <c r="A20" t="s">
        <v>9</v>
      </c>
      <c r="B20" s="2" t="str">
        <f>"0.0290"</f>
        <v>0.0290</v>
      </c>
      <c r="C20" s="2" t="str">
        <f>"0.0298"</f>
        <v>0.0298</v>
      </c>
    </row>
    <row r="21" spans="1:3" x14ac:dyDescent="0.25">
      <c r="A21" t="s">
        <v>126</v>
      </c>
      <c r="B21" s="2" t="str">
        <f>"(0.0266)"</f>
        <v>(0.0266)</v>
      </c>
      <c r="C21" s="2" t="str">
        <f>"(0.0264)"</f>
        <v>(0.0264)</v>
      </c>
    </row>
    <row r="22" spans="1:3" x14ac:dyDescent="0.25">
      <c r="A22" t="s">
        <v>10</v>
      </c>
      <c r="B22" s="2" t="str">
        <f>"-0.00688"</f>
        <v>-0.00688</v>
      </c>
      <c r="C22" s="2" t="str">
        <f>"-0.00506"</f>
        <v>-0.00506</v>
      </c>
    </row>
    <row r="23" spans="1:3" x14ac:dyDescent="0.25">
      <c r="A23" t="s">
        <v>126</v>
      </c>
      <c r="B23" s="2" t="str">
        <f>"(0.00736)"</f>
        <v>(0.00736)</v>
      </c>
      <c r="C23" s="2" t="str">
        <f>"(0.00736)"</f>
        <v>(0.00736)</v>
      </c>
    </row>
    <row r="24" spans="1:3" x14ac:dyDescent="0.25">
      <c r="A24" t="s">
        <v>11</v>
      </c>
      <c r="B24" s="2" t="str">
        <f>"-0.0192"</f>
        <v>-0.0192</v>
      </c>
      <c r="C24" s="2" t="str">
        <f>"-0.0124"</f>
        <v>-0.0124</v>
      </c>
    </row>
    <row r="25" spans="1:3" x14ac:dyDescent="0.25">
      <c r="A25" t="s">
        <v>126</v>
      </c>
      <c r="B25" s="2" t="str">
        <f>"(0.0139)"</f>
        <v>(0.0139)</v>
      </c>
      <c r="C25" s="2" t="str">
        <f>"(0.0139)"</f>
        <v>(0.0139)</v>
      </c>
    </row>
    <row r="26" spans="1:3" x14ac:dyDescent="0.25">
      <c r="A26" t="s">
        <v>12</v>
      </c>
      <c r="B26" s="2" t="str">
        <f>"-0.00781"</f>
        <v>-0.00781</v>
      </c>
      <c r="C26" s="2" t="str">
        <f>"-0.00230"</f>
        <v>-0.00230</v>
      </c>
    </row>
    <row r="27" spans="1:3" x14ac:dyDescent="0.25">
      <c r="A27" t="s">
        <v>126</v>
      </c>
      <c r="B27" s="2" t="str">
        <f>"(0.00901)"</f>
        <v>(0.00901)</v>
      </c>
      <c r="C27" s="2" t="str">
        <f>"(0.00906)"</f>
        <v>(0.00906)</v>
      </c>
    </row>
    <row r="28" spans="1:3" x14ac:dyDescent="0.25">
      <c r="A28" t="s">
        <v>13</v>
      </c>
      <c r="B28" s="2" t="str">
        <f>"-0.00630"</f>
        <v>-0.00630</v>
      </c>
      <c r="C28" s="2" t="str">
        <f>"-0.00183"</f>
        <v>-0.00183</v>
      </c>
    </row>
    <row r="29" spans="1:3" x14ac:dyDescent="0.25">
      <c r="A29" t="s">
        <v>126</v>
      </c>
      <c r="B29" s="2" t="str">
        <f>"(0.0154)"</f>
        <v>(0.0154)</v>
      </c>
      <c r="C29" s="2" t="str">
        <f>"(0.0154)"</f>
        <v>(0.0154)</v>
      </c>
    </row>
    <row r="30" spans="1:3" x14ac:dyDescent="0.25">
      <c r="A30" t="s">
        <v>14</v>
      </c>
      <c r="B30" s="2" t="str">
        <f>"0.0340"</f>
        <v>0.0340</v>
      </c>
      <c r="C30" s="2" t="str">
        <f>"0.0322"</f>
        <v>0.0322</v>
      </c>
    </row>
    <row r="31" spans="1:3" x14ac:dyDescent="0.25">
      <c r="A31" t="s">
        <v>126</v>
      </c>
      <c r="B31" s="2" t="str">
        <f>"(0.0194)"</f>
        <v>(0.0194)</v>
      </c>
      <c r="C31" s="2" t="str">
        <f>"(0.0193)"</f>
        <v>(0.0193)</v>
      </c>
    </row>
    <row r="32" spans="1:3" x14ac:dyDescent="0.25">
      <c r="A32" t="s">
        <v>15</v>
      </c>
      <c r="B32" s="2" t="str">
        <f>"0.0156"</f>
        <v>0.0156</v>
      </c>
      <c r="C32" s="2" t="str">
        <f>"0.0136"</f>
        <v>0.0136</v>
      </c>
    </row>
    <row r="33" spans="1:3" x14ac:dyDescent="0.25">
      <c r="A33" t="s">
        <v>126</v>
      </c>
      <c r="B33" s="2" t="str">
        <f>"(0.0158)"</f>
        <v>(0.0158)</v>
      </c>
      <c r="C33" s="2" t="str">
        <f>"(0.0157)"</f>
        <v>(0.0157)</v>
      </c>
    </row>
    <row r="34" spans="1:3" x14ac:dyDescent="0.25">
      <c r="A34" t="s">
        <v>4</v>
      </c>
      <c r="B34" s="2" t="str">
        <f>"-0.000523"</f>
        <v>-0.000523</v>
      </c>
      <c r="C34" s="2" t="str">
        <f>"-0.00133"</f>
        <v>-0.00133</v>
      </c>
    </row>
    <row r="35" spans="1:3" x14ac:dyDescent="0.25">
      <c r="A35" t="s">
        <v>126</v>
      </c>
      <c r="B35" s="2" t="str">
        <f>"(0.00131)"</f>
        <v>(0.00131)</v>
      </c>
      <c r="C35" s="2" t="str">
        <f>"(0.00131)"</f>
        <v>(0.00131)</v>
      </c>
    </row>
    <row r="36" spans="1:3" x14ac:dyDescent="0.25">
      <c r="A36" t="s">
        <v>5</v>
      </c>
      <c r="B36" s="2" t="str">
        <f>"0.00486"</f>
        <v>0.00486</v>
      </c>
      <c r="C36" s="2" t="str">
        <f>"0.00747*"</f>
        <v>0.00747*</v>
      </c>
    </row>
    <row r="37" spans="1:3" x14ac:dyDescent="0.25">
      <c r="A37" t="s">
        <v>126</v>
      </c>
      <c r="B37" s="2" t="str">
        <f>"(0.00362)"</f>
        <v>(0.00362)</v>
      </c>
      <c r="C37" s="2" t="str">
        <f>"(0.00362)"</f>
        <v>(0.00362)</v>
      </c>
    </row>
    <row r="38" spans="1:3" x14ac:dyDescent="0.25">
      <c r="A38" t="s">
        <v>16</v>
      </c>
      <c r="B38" s="2" t="str">
        <f>"0.0413***"</f>
        <v>0.0413***</v>
      </c>
      <c r="C38" s="2" t="str">
        <f>"0.0445***"</f>
        <v>0.0445***</v>
      </c>
    </row>
    <row r="39" spans="1:3" x14ac:dyDescent="0.25">
      <c r="A39" t="s">
        <v>126</v>
      </c>
      <c r="B39" s="2" t="str">
        <f>"(0.00538)"</f>
        <v>(0.00538)</v>
      </c>
      <c r="C39" s="2" t="str">
        <f>"(0.00539)"</f>
        <v>(0.00539)</v>
      </c>
    </row>
    <row r="40" spans="1:3" x14ac:dyDescent="0.25">
      <c r="A40" t="s">
        <v>17</v>
      </c>
      <c r="B40" s="2" t="str">
        <f>"0.00634"</f>
        <v>0.00634</v>
      </c>
      <c r="C40" s="2" t="str">
        <f>"0.00648"</f>
        <v>0.00648</v>
      </c>
    </row>
    <row r="41" spans="1:3" x14ac:dyDescent="0.25">
      <c r="A41" t="str">
        <f>""</f>
        <v/>
      </c>
      <c r="B41" s="2" t="str">
        <f>"(0.00364)"</f>
        <v>(0.00364)</v>
      </c>
      <c r="C41" s="2" t="str">
        <f>"(0.00366)"</f>
        <v>(0.00366)</v>
      </c>
    </row>
    <row r="42" spans="1:3" x14ac:dyDescent="0.25">
      <c r="A42" t="s">
        <v>18</v>
      </c>
      <c r="B42" s="2" t="str">
        <f>"0.240***"</f>
        <v>0.240***</v>
      </c>
      <c r="C42" s="2" t="str">
        <f>"0.242***"</f>
        <v>0.242***</v>
      </c>
    </row>
    <row r="43" spans="1:3" x14ac:dyDescent="0.25">
      <c r="A43" t="str">
        <f>""</f>
        <v/>
      </c>
      <c r="B43" s="2" t="str">
        <f>"(0.00510)"</f>
        <v>(0.00510)</v>
      </c>
      <c r="C43" s="2" t="str">
        <f>"(0.00510)"</f>
        <v>(0.00510)</v>
      </c>
    </row>
    <row r="44" spans="1:3" x14ac:dyDescent="0.25">
      <c r="A44" t="s">
        <v>19</v>
      </c>
      <c r="B44" s="2" t="str">
        <f>"0.00174***"</f>
        <v>0.00174***</v>
      </c>
      <c r="C44" s="2" t="str">
        <f>"0.00166***"</f>
        <v>0.00166***</v>
      </c>
    </row>
    <row r="45" spans="1:3" x14ac:dyDescent="0.25">
      <c r="A45" t="str">
        <f>""</f>
        <v/>
      </c>
      <c r="B45" s="2" t="str">
        <f>"(0.000378)"</f>
        <v>(0.000378)</v>
      </c>
      <c r="C45" s="2" t="str">
        <f>"(0.000379)"</f>
        <v>(0.000379)</v>
      </c>
    </row>
    <row r="46" spans="1:3" x14ac:dyDescent="0.25">
      <c r="A46" t="s">
        <v>26</v>
      </c>
      <c r="B46" s="2" t="str">
        <f>"0.00295"</f>
        <v>0.00295</v>
      </c>
      <c r="C46" s="2" t="str">
        <f>"0.00328"</f>
        <v>0.00328</v>
      </c>
    </row>
    <row r="47" spans="1:3" x14ac:dyDescent="0.25">
      <c r="A47" t="str">
        <f>""</f>
        <v/>
      </c>
      <c r="B47" s="2" t="str">
        <f>"(0.00806)"</f>
        <v>(0.00806)</v>
      </c>
      <c r="C47" s="2" t="str">
        <f>"(0.00804)"</f>
        <v>(0.00804)</v>
      </c>
    </row>
    <row r="48" spans="1:3" x14ac:dyDescent="0.25">
      <c r="A48" t="s">
        <v>20</v>
      </c>
      <c r="B48" s="2" t="str">
        <f>"-0.00687***"</f>
        <v>-0.00687***</v>
      </c>
      <c r="C48" s="2" t="str">
        <f>"-0.00633***"</f>
        <v>-0.00633***</v>
      </c>
    </row>
    <row r="49" spans="1:3" x14ac:dyDescent="0.25">
      <c r="A49" t="str">
        <f>""</f>
        <v/>
      </c>
      <c r="B49" s="2" t="str">
        <f>"(0.000472)"</f>
        <v>(0.000472)</v>
      </c>
      <c r="C49" s="2" t="str">
        <f>"(0.000467)"</f>
        <v>(0.000467)</v>
      </c>
    </row>
    <row r="50" spans="1:3" x14ac:dyDescent="0.25">
      <c r="A50" t="s">
        <v>21</v>
      </c>
      <c r="B50" s="2" t="str">
        <f>"0.0193***"</f>
        <v>0.0193***</v>
      </c>
      <c r="C50" s="2" t="str">
        <f>"0.0176***"</f>
        <v>0.0176***</v>
      </c>
    </row>
    <row r="51" spans="1:3" x14ac:dyDescent="0.25">
      <c r="A51" t="str">
        <f>""</f>
        <v/>
      </c>
      <c r="B51" s="2" t="str">
        <f>"(0.00152)"</f>
        <v>(0.00152)</v>
      </c>
      <c r="C51" s="2" t="str">
        <f>"(0.00151)"</f>
        <v>(0.00151)</v>
      </c>
    </row>
    <row r="52" spans="1:3" x14ac:dyDescent="0.25">
      <c r="A52" t="s">
        <v>22</v>
      </c>
      <c r="B52" s="2" t="str">
        <f>"0.0792***"</f>
        <v>0.0792***</v>
      </c>
      <c r="C52" s="2" t="str">
        <f>"0.0811***"</f>
        <v>0.0811***</v>
      </c>
    </row>
    <row r="53" spans="1:3" x14ac:dyDescent="0.25">
      <c r="A53" t="str">
        <f>""</f>
        <v/>
      </c>
      <c r="B53" s="2" t="str">
        <f>"(0.00915)"</f>
        <v>(0.00915)</v>
      </c>
      <c r="C53" s="2" t="str">
        <f>"(0.00909)"</f>
        <v>(0.00909)</v>
      </c>
    </row>
    <row r="54" spans="1:3" x14ac:dyDescent="0.25">
      <c r="A54" t="s">
        <v>27</v>
      </c>
      <c r="B54" s="2" t="str">
        <f>""</f>
        <v/>
      </c>
      <c r="C54" s="2" t="str">
        <f>"0.00556"</f>
        <v>0.00556</v>
      </c>
    </row>
    <row r="55" spans="1:3" x14ac:dyDescent="0.25">
      <c r="B55" s="2" t="str">
        <f>""</f>
        <v/>
      </c>
      <c r="C55" s="2" t="str">
        <f>"(0.0209)"</f>
        <v>(0.0209)</v>
      </c>
    </row>
    <row r="56" spans="1:3" x14ac:dyDescent="0.25">
      <c r="A56" t="s">
        <v>28</v>
      </c>
      <c r="B56" s="2" t="str">
        <f>""</f>
        <v/>
      </c>
      <c r="C56" s="2" t="str">
        <f>"0.0349"</f>
        <v>0.0349</v>
      </c>
    </row>
    <row r="57" spans="1:3" x14ac:dyDescent="0.25">
      <c r="B57" s="2" t="str">
        <f>""</f>
        <v/>
      </c>
      <c r="C57" s="2" t="str">
        <f>"(0.0264)"</f>
        <v>(0.0264)</v>
      </c>
    </row>
    <row r="58" spans="1:3" x14ac:dyDescent="0.25">
      <c r="A58" t="s">
        <v>29</v>
      </c>
      <c r="B58" s="2" t="str">
        <f>""</f>
        <v/>
      </c>
      <c r="C58" s="2" t="str">
        <f>"0.0110"</f>
        <v>0.0110</v>
      </c>
    </row>
    <row r="59" spans="1:3" x14ac:dyDescent="0.25">
      <c r="B59" s="2" t="str">
        <f>""</f>
        <v/>
      </c>
      <c r="C59" s="2" t="str">
        <f>"(0.0202)"</f>
        <v>(0.0202)</v>
      </c>
    </row>
    <row r="60" spans="1:3" x14ac:dyDescent="0.25">
      <c r="A60" t="s">
        <v>30</v>
      </c>
      <c r="B60" s="2" t="str">
        <f>""</f>
        <v/>
      </c>
      <c r="C60" s="2" t="str">
        <f>"0.0484*"</f>
        <v>0.0484*</v>
      </c>
    </row>
    <row r="61" spans="1:3" x14ac:dyDescent="0.25">
      <c r="B61" s="2" t="str">
        <f>""</f>
        <v/>
      </c>
      <c r="C61" s="2" t="str">
        <f>"(0.0190)"</f>
        <v>(0.0190)</v>
      </c>
    </row>
    <row r="62" spans="1:3" x14ac:dyDescent="0.25">
      <c r="A62" t="s">
        <v>31</v>
      </c>
      <c r="B62" s="2" t="str">
        <f>""</f>
        <v/>
      </c>
      <c r="C62" s="2" t="str">
        <f>"-0.0296"</f>
        <v>-0.0296</v>
      </c>
    </row>
    <row r="63" spans="1:3" x14ac:dyDescent="0.25">
      <c r="B63" s="2" t="str">
        <f>""</f>
        <v/>
      </c>
      <c r="C63" s="2" t="str">
        <f>"(0.0183)"</f>
        <v>(0.0183)</v>
      </c>
    </row>
    <row r="64" spans="1:3" x14ac:dyDescent="0.25">
      <c r="A64" t="s">
        <v>32</v>
      </c>
      <c r="B64" s="2" t="str">
        <f>""</f>
        <v/>
      </c>
      <c r="C64" s="2" t="str">
        <f>"0.0477"</f>
        <v>0.0477</v>
      </c>
    </row>
    <row r="65" spans="1:3" x14ac:dyDescent="0.25">
      <c r="B65" s="2" t="str">
        <f>""</f>
        <v/>
      </c>
      <c r="C65" s="2" t="str">
        <f>"(0.0377)"</f>
        <v>(0.0377)</v>
      </c>
    </row>
    <row r="66" spans="1:3" x14ac:dyDescent="0.25">
      <c r="A66" t="s">
        <v>33</v>
      </c>
      <c r="B66" s="2" t="str">
        <f>""</f>
        <v/>
      </c>
      <c r="C66" s="2" t="str">
        <f>"-0.0376"</f>
        <v>-0.0376</v>
      </c>
    </row>
    <row r="67" spans="1:3" x14ac:dyDescent="0.25">
      <c r="B67" s="2" t="str">
        <f>""</f>
        <v/>
      </c>
      <c r="C67" s="2" t="str">
        <f>"(0.0357)"</f>
        <v>(0.0357)</v>
      </c>
    </row>
    <row r="68" spans="1:3" x14ac:dyDescent="0.25">
      <c r="A68" t="s">
        <v>34</v>
      </c>
      <c r="B68" s="2" t="str">
        <f>""</f>
        <v/>
      </c>
      <c r="C68" s="2" t="str">
        <f>"0.00114"</f>
        <v>0.00114</v>
      </c>
    </row>
    <row r="69" spans="1:3" x14ac:dyDescent="0.25">
      <c r="B69" s="2" t="str">
        <f>""</f>
        <v/>
      </c>
      <c r="C69" s="2" t="str">
        <f>"(0.0379)"</f>
        <v>(0.0379)</v>
      </c>
    </row>
    <row r="70" spans="1:3" x14ac:dyDescent="0.25">
      <c r="A70" t="s">
        <v>35</v>
      </c>
      <c r="B70" s="2" t="str">
        <f>""</f>
        <v/>
      </c>
      <c r="C70" s="2" t="str">
        <f>"-0.00784"</f>
        <v>-0.00784</v>
      </c>
    </row>
    <row r="71" spans="1:3" x14ac:dyDescent="0.25">
      <c r="B71" s="2" t="str">
        <f>""</f>
        <v/>
      </c>
      <c r="C71" s="2" t="str">
        <f>"(0.0205)"</f>
        <v>(0.0205)</v>
      </c>
    </row>
    <row r="72" spans="1:3" x14ac:dyDescent="0.25">
      <c r="A72" t="s">
        <v>36</v>
      </c>
      <c r="B72" s="2" t="str">
        <f>""</f>
        <v/>
      </c>
      <c r="C72" s="2" t="str">
        <f>"-0.0228"</f>
        <v>-0.0228</v>
      </c>
    </row>
    <row r="73" spans="1:3" x14ac:dyDescent="0.25">
      <c r="B73" s="2" t="str">
        <f>""</f>
        <v/>
      </c>
      <c r="C73" s="2" t="str">
        <f>"(0.0443)"</f>
        <v>(0.0443)</v>
      </c>
    </row>
    <row r="74" spans="1:3" x14ac:dyDescent="0.25">
      <c r="A74" t="s">
        <v>37</v>
      </c>
      <c r="B74" s="2" t="str">
        <f>""</f>
        <v/>
      </c>
      <c r="C74" s="2" t="str">
        <f>"-0.0347"</f>
        <v>-0.0347</v>
      </c>
    </row>
    <row r="75" spans="1:3" x14ac:dyDescent="0.25">
      <c r="B75" s="2" t="str">
        <f>""</f>
        <v/>
      </c>
      <c r="C75" s="2" t="str">
        <f>"(0.0364)"</f>
        <v>(0.0364)</v>
      </c>
    </row>
    <row r="76" spans="1:3" x14ac:dyDescent="0.25">
      <c r="A76" t="s">
        <v>38</v>
      </c>
      <c r="B76" s="2" t="str">
        <f>""</f>
        <v/>
      </c>
      <c r="C76" s="2" t="str">
        <f>"0.00843"</f>
        <v>0.00843</v>
      </c>
    </row>
    <row r="77" spans="1:3" x14ac:dyDescent="0.25">
      <c r="B77" s="2" t="str">
        <f>""</f>
        <v/>
      </c>
      <c r="C77" s="2" t="str">
        <f>"(0.0237)"</f>
        <v>(0.0237)</v>
      </c>
    </row>
    <row r="78" spans="1:3" x14ac:dyDescent="0.25">
      <c r="A78" t="s">
        <v>39</v>
      </c>
      <c r="B78" s="2" t="str">
        <f>""</f>
        <v/>
      </c>
      <c r="C78" s="2" t="str">
        <f>"0.0634"</f>
        <v>0.0634</v>
      </c>
    </row>
    <row r="79" spans="1:3" x14ac:dyDescent="0.25">
      <c r="B79" s="2" t="str">
        <f>""</f>
        <v/>
      </c>
      <c r="C79" s="2" t="str">
        <f>"(0.0456)"</f>
        <v>(0.0456)</v>
      </c>
    </row>
    <row r="80" spans="1:3" x14ac:dyDescent="0.25">
      <c r="A80" t="s">
        <v>40</v>
      </c>
      <c r="B80" s="2" t="str">
        <f>""</f>
        <v/>
      </c>
      <c r="C80" s="2" t="str">
        <f>"-0.0417"</f>
        <v>-0.0417</v>
      </c>
    </row>
    <row r="81" spans="1:3" x14ac:dyDescent="0.25">
      <c r="B81" s="2" t="str">
        <f>""</f>
        <v/>
      </c>
      <c r="C81" s="2" t="str">
        <f>"(0.0214)"</f>
        <v>(0.0214)</v>
      </c>
    </row>
    <row r="82" spans="1:3" x14ac:dyDescent="0.25">
      <c r="A82" t="s">
        <v>41</v>
      </c>
      <c r="B82" s="2" t="str">
        <f>""</f>
        <v/>
      </c>
      <c r="C82" s="2" t="str">
        <f>"-0.0293"</f>
        <v>-0.0293</v>
      </c>
    </row>
    <row r="83" spans="1:3" x14ac:dyDescent="0.25">
      <c r="B83" s="2" t="str">
        <f>""</f>
        <v/>
      </c>
      <c r="C83" s="2" t="str">
        <f>"(0.0176)"</f>
        <v>(0.0176)</v>
      </c>
    </row>
    <row r="84" spans="1:3" x14ac:dyDescent="0.25">
      <c r="A84" t="s">
        <v>42</v>
      </c>
      <c r="B84" s="2" t="str">
        <f>""</f>
        <v/>
      </c>
      <c r="C84" s="2" t="str">
        <f>"-0.00730"</f>
        <v>-0.00730</v>
      </c>
    </row>
    <row r="85" spans="1:3" x14ac:dyDescent="0.25">
      <c r="B85" s="2" t="str">
        <f>""</f>
        <v/>
      </c>
      <c r="C85" s="2" t="str">
        <f>"(0.0166)"</f>
        <v>(0.0166)</v>
      </c>
    </row>
    <row r="86" spans="1:3" x14ac:dyDescent="0.25">
      <c r="A86" t="s">
        <v>43</v>
      </c>
      <c r="B86" s="2" t="str">
        <f>""</f>
        <v/>
      </c>
      <c r="C86" s="2" t="str">
        <f>"-0.0102"</f>
        <v>-0.0102</v>
      </c>
    </row>
    <row r="87" spans="1:3" x14ac:dyDescent="0.25">
      <c r="B87" s="2" t="str">
        <f>""</f>
        <v/>
      </c>
      <c r="C87" s="2" t="str">
        <f>"(0.0180)"</f>
        <v>(0.0180)</v>
      </c>
    </row>
    <row r="88" spans="1:3" x14ac:dyDescent="0.25">
      <c r="A88" t="s">
        <v>44</v>
      </c>
      <c r="B88" s="2" t="str">
        <f>""</f>
        <v/>
      </c>
      <c r="C88" s="2" t="str">
        <f>"-0.0381"</f>
        <v>-0.0381</v>
      </c>
    </row>
    <row r="89" spans="1:3" x14ac:dyDescent="0.25">
      <c r="B89" s="2" t="str">
        <f>""</f>
        <v/>
      </c>
      <c r="C89" s="2" t="str">
        <f>"(0.0244)"</f>
        <v>(0.0244)</v>
      </c>
    </row>
    <row r="90" spans="1:3" x14ac:dyDescent="0.25">
      <c r="A90" t="s">
        <v>45</v>
      </c>
      <c r="B90" s="2" t="str">
        <f>""</f>
        <v/>
      </c>
      <c r="C90" s="2" t="str">
        <f>"-0.0155"</f>
        <v>-0.0155</v>
      </c>
    </row>
    <row r="91" spans="1:3" x14ac:dyDescent="0.25">
      <c r="B91" s="2" t="str">
        <f>""</f>
        <v/>
      </c>
      <c r="C91" s="2" t="str">
        <f>"(0.0437)"</f>
        <v>(0.0437)</v>
      </c>
    </row>
    <row r="92" spans="1:3" x14ac:dyDescent="0.25">
      <c r="A92" t="s">
        <v>46</v>
      </c>
      <c r="B92" s="2" t="str">
        <f>""</f>
        <v/>
      </c>
      <c r="C92" s="2" t="str">
        <f>"-0.0716***"</f>
        <v>-0.0716***</v>
      </c>
    </row>
    <row r="93" spans="1:3" x14ac:dyDescent="0.25">
      <c r="B93" s="2" t="str">
        <f>""</f>
        <v/>
      </c>
      <c r="C93" s="2" t="str">
        <f>"(0.0185)"</f>
        <v>(0.0185)</v>
      </c>
    </row>
    <row r="94" spans="1:3" x14ac:dyDescent="0.25">
      <c r="A94" t="s">
        <v>47</v>
      </c>
      <c r="B94" s="2" t="str">
        <f>""</f>
        <v/>
      </c>
      <c r="C94" s="2" t="str">
        <f>"-0.00336"</f>
        <v>-0.00336</v>
      </c>
    </row>
    <row r="95" spans="1:3" x14ac:dyDescent="0.25">
      <c r="B95" s="2" t="str">
        <f>""</f>
        <v/>
      </c>
      <c r="C95" s="2" t="str">
        <f>"(0.0353)"</f>
        <v>(0.0353)</v>
      </c>
    </row>
    <row r="96" spans="1:3" x14ac:dyDescent="0.25">
      <c r="A96" t="s">
        <v>48</v>
      </c>
      <c r="B96" s="2" t="str">
        <f>""</f>
        <v/>
      </c>
      <c r="C96" s="2" t="str">
        <f>"0.0503*"</f>
        <v>0.0503*</v>
      </c>
    </row>
    <row r="97" spans="1:3" x14ac:dyDescent="0.25">
      <c r="B97" s="2" t="str">
        <f>""</f>
        <v/>
      </c>
      <c r="C97" s="2" t="str">
        <f>"(0.0227)"</f>
        <v>(0.0227)</v>
      </c>
    </row>
    <row r="98" spans="1:3" x14ac:dyDescent="0.25">
      <c r="A98" t="s">
        <v>49</v>
      </c>
      <c r="B98" s="2" t="str">
        <f>""</f>
        <v/>
      </c>
      <c r="C98" s="2" t="str">
        <f>"-0.0486"</f>
        <v>-0.0486</v>
      </c>
    </row>
    <row r="99" spans="1:3" x14ac:dyDescent="0.25">
      <c r="B99" s="2" t="str">
        <f>""</f>
        <v/>
      </c>
      <c r="C99" s="2" t="str">
        <f>"(0.0278)"</f>
        <v>(0.0278)</v>
      </c>
    </row>
    <row r="100" spans="1:3" x14ac:dyDescent="0.25">
      <c r="A100" t="s">
        <v>50</v>
      </c>
      <c r="B100" s="2" t="str">
        <f>""</f>
        <v/>
      </c>
      <c r="C100" s="2" t="str">
        <f>"-0.0318"</f>
        <v>-0.0318</v>
      </c>
    </row>
    <row r="101" spans="1:3" x14ac:dyDescent="0.25">
      <c r="B101" s="2" t="str">
        <f>""</f>
        <v/>
      </c>
      <c r="C101" s="2" t="str">
        <f>"(0.0564)"</f>
        <v>(0.0564)</v>
      </c>
    </row>
    <row r="102" spans="1:3" x14ac:dyDescent="0.25">
      <c r="A102" t="s">
        <v>51</v>
      </c>
      <c r="B102" s="2" t="str">
        <f>""</f>
        <v/>
      </c>
      <c r="C102" s="2" t="str">
        <f>"0.0761***"</f>
        <v>0.0761***</v>
      </c>
    </row>
    <row r="103" spans="1:3" x14ac:dyDescent="0.25">
      <c r="B103" s="2" t="str">
        <f>""</f>
        <v/>
      </c>
      <c r="C103" s="2" t="str">
        <f>"(0.0217)"</f>
        <v>(0.0217)</v>
      </c>
    </row>
    <row r="104" spans="1:3" x14ac:dyDescent="0.25">
      <c r="A104" t="s">
        <v>52</v>
      </c>
      <c r="B104" s="2" t="str">
        <f>""</f>
        <v/>
      </c>
      <c r="C104" s="2" t="str">
        <f>"-0.0341"</f>
        <v>-0.0341</v>
      </c>
    </row>
    <row r="105" spans="1:3" x14ac:dyDescent="0.25">
      <c r="B105" s="2" t="str">
        <f>""</f>
        <v/>
      </c>
      <c r="C105" s="2" t="str">
        <f>"(0.0250)"</f>
        <v>(0.0250)</v>
      </c>
    </row>
    <row r="106" spans="1:3" x14ac:dyDescent="0.25">
      <c r="A106" t="s">
        <v>53</v>
      </c>
      <c r="B106" s="2" t="str">
        <f>""</f>
        <v/>
      </c>
      <c r="C106" s="2" t="str">
        <f>"-0.0443"</f>
        <v>-0.0443</v>
      </c>
    </row>
    <row r="107" spans="1:3" x14ac:dyDescent="0.25">
      <c r="B107" s="2" t="str">
        <f>""</f>
        <v/>
      </c>
      <c r="C107" s="2" t="str">
        <f>"(0.0285)"</f>
        <v>(0.0285)</v>
      </c>
    </row>
    <row r="108" spans="1:3" x14ac:dyDescent="0.25">
      <c r="A108" t="s">
        <v>54</v>
      </c>
      <c r="B108" s="2" t="str">
        <f>""</f>
        <v/>
      </c>
      <c r="C108" s="2" t="str">
        <f>"0.00317"</f>
        <v>0.00317</v>
      </c>
    </row>
    <row r="109" spans="1:3" x14ac:dyDescent="0.25">
      <c r="B109" s="2" t="str">
        <f>""</f>
        <v/>
      </c>
      <c r="C109" s="2" t="str">
        <f>"(0.0471)"</f>
        <v>(0.0471)</v>
      </c>
    </row>
    <row r="110" spans="1:3" x14ac:dyDescent="0.25">
      <c r="A110" t="s">
        <v>55</v>
      </c>
      <c r="B110" s="2" t="str">
        <f>""</f>
        <v/>
      </c>
      <c r="C110" s="2" t="str">
        <f>"0.0326"</f>
        <v>0.0326</v>
      </c>
    </row>
    <row r="111" spans="1:3" x14ac:dyDescent="0.25">
      <c r="B111" s="2" t="str">
        <f>""</f>
        <v/>
      </c>
      <c r="C111" s="2" t="str">
        <f>"(0.0333)"</f>
        <v>(0.0333)</v>
      </c>
    </row>
    <row r="112" spans="1:3" x14ac:dyDescent="0.25">
      <c r="A112" t="s">
        <v>56</v>
      </c>
      <c r="B112" s="2" t="str">
        <f>""</f>
        <v/>
      </c>
      <c r="C112" s="2" t="str">
        <f>"-0.0995***"</f>
        <v>-0.0995***</v>
      </c>
    </row>
    <row r="113" spans="1:3" x14ac:dyDescent="0.25">
      <c r="B113" s="2" t="str">
        <f>""</f>
        <v/>
      </c>
      <c r="C113" s="2" t="str">
        <f>"(0.0297)"</f>
        <v>(0.0297)</v>
      </c>
    </row>
    <row r="114" spans="1:3" x14ac:dyDescent="0.25">
      <c r="A114" t="s">
        <v>57</v>
      </c>
      <c r="B114" s="2" t="str">
        <f>""</f>
        <v/>
      </c>
      <c r="C114" s="2" t="str">
        <f>"0.0161"</f>
        <v>0.0161</v>
      </c>
    </row>
    <row r="115" spans="1:3" x14ac:dyDescent="0.25">
      <c r="B115" s="2" t="str">
        <f>""</f>
        <v/>
      </c>
      <c r="C115" s="2" t="str">
        <f>"(0.0413)"</f>
        <v>(0.0413)</v>
      </c>
    </row>
    <row r="116" spans="1:3" x14ac:dyDescent="0.25">
      <c r="A116" t="s">
        <v>58</v>
      </c>
      <c r="B116" s="2" t="str">
        <f>""</f>
        <v/>
      </c>
      <c r="C116" s="2" t="str">
        <f>"-0.0381"</f>
        <v>-0.0381</v>
      </c>
    </row>
    <row r="117" spans="1:3" x14ac:dyDescent="0.25">
      <c r="B117" s="2" t="str">
        <f>""</f>
        <v/>
      </c>
      <c r="C117" s="2" t="str">
        <f>"(0.0239)"</f>
        <v>(0.0239)</v>
      </c>
    </row>
    <row r="118" spans="1:3" x14ac:dyDescent="0.25">
      <c r="A118" t="s">
        <v>59</v>
      </c>
      <c r="B118" s="2" t="str">
        <f>""</f>
        <v/>
      </c>
      <c r="C118" s="2" t="str">
        <f>"0.157**"</f>
        <v>0.157**</v>
      </c>
    </row>
    <row r="119" spans="1:3" x14ac:dyDescent="0.25">
      <c r="B119" s="2" t="str">
        <f>""</f>
        <v/>
      </c>
      <c r="C119" s="2" t="str">
        <f>"(0.0566)"</f>
        <v>(0.0566)</v>
      </c>
    </row>
    <row r="120" spans="1:3" x14ac:dyDescent="0.25">
      <c r="A120" t="s">
        <v>60</v>
      </c>
      <c r="B120" s="2" t="str">
        <f>""</f>
        <v/>
      </c>
      <c r="C120" s="2" t="str">
        <f>"0.0335"</f>
        <v>0.0335</v>
      </c>
    </row>
    <row r="121" spans="1:3" x14ac:dyDescent="0.25">
      <c r="B121" s="2" t="str">
        <f>""</f>
        <v/>
      </c>
      <c r="C121" s="2" t="str">
        <f>"(0.0468)"</f>
        <v>(0.0468)</v>
      </c>
    </row>
    <row r="122" spans="1:3" x14ac:dyDescent="0.25">
      <c r="A122" t="s">
        <v>61</v>
      </c>
      <c r="B122" s="2" t="str">
        <f>""</f>
        <v/>
      </c>
      <c r="C122" s="2" t="str">
        <f>"0.0996"</f>
        <v>0.0996</v>
      </c>
    </row>
    <row r="123" spans="1:3" x14ac:dyDescent="0.25">
      <c r="B123" s="2" t="str">
        <f>""</f>
        <v/>
      </c>
      <c r="C123" s="2" t="str">
        <f>"(0.0559)"</f>
        <v>(0.0559)</v>
      </c>
    </row>
    <row r="124" spans="1:3" x14ac:dyDescent="0.25">
      <c r="A124" t="s">
        <v>62</v>
      </c>
      <c r="B124" s="2" t="str">
        <f>""</f>
        <v/>
      </c>
      <c r="C124" s="2" t="str">
        <f>"-0.0514*"</f>
        <v>-0.0514*</v>
      </c>
    </row>
    <row r="125" spans="1:3" x14ac:dyDescent="0.25">
      <c r="B125" s="2" t="str">
        <f>""</f>
        <v/>
      </c>
      <c r="C125" s="2" t="str">
        <f>"(0.0234)"</f>
        <v>(0.0234)</v>
      </c>
    </row>
    <row r="126" spans="1:3" x14ac:dyDescent="0.25">
      <c r="A126" t="s">
        <v>63</v>
      </c>
      <c r="B126" s="2" t="str">
        <f>""</f>
        <v/>
      </c>
      <c r="C126" s="2" t="str">
        <f>"-0.107**"</f>
        <v>-0.107**</v>
      </c>
    </row>
    <row r="127" spans="1:3" x14ac:dyDescent="0.25">
      <c r="B127" s="2" t="str">
        <f>""</f>
        <v/>
      </c>
      <c r="C127" s="2" t="str">
        <f>"(0.0391)"</f>
        <v>(0.0391)</v>
      </c>
    </row>
    <row r="128" spans="1:3" x14ac:dyDescent="0.25">
      <c r="A128" t="s">
        <v>64</v>
      </c>
      <c r="B128" s="2" t="str">
        <f>""</f>
        <v/>
      </c>
      <c r="C128" s="2" t="str">
        <f>"-0.0595"</f>
        <v>-0.0595</v>
      </c>
    </row>
    <row r="129" spans="1:3" x14ac:dyDescent="0.25">
      <c r="B129" s="2" t="str">
        <f>""</f>
        <v/>
      </c>
      <c r="C129" s="2" t="str">
        <f>"(0.0910)"</f>
        <v>(0.0910)</v>
      </c>
    </row>
    <row r="130" spans="1:3" x14ac:dyDescent="0.25">
      <c r="A130" t="s">
        <v>65</v>
      </c>
      <c r="B130" s="2" t="str">
        <f>""</f>
        <v/>
      </c>
      <c r="C130" s="2" t="str">
        <f>"-0.0858**"</f>
        <v>-0.0858**</v>
      </c>
    </row>
    <row r="131" spans="1:3" x14ac:dyDescent="0.25">
      <c r="B131" s="2" t="str">
        <f>""</f>
        <v/>
      </c>
      <c r="C131" s="2" t="str">
        <f>"(0.0274)"</f>
        <v>(0.0274)</v>
      </c>
    </row>
    <row r="132" spans="1:3" x14ac:dyDescent="0.25">
      <c r="A132" t="s">
        <v>66</v>
      </c>
      <c r="B132" s="2" t="str">
        <f>""</f>
        <v/>
      </c>
      <c r="C132" s="2" t="str">
        <f>"-0.00380"</f>
        <v>-0.00380</v>
      </c>
    </row>
    <row r="133" spans="1:3" x14ac:dyDescent="0.25">
      <c r="B133" s="2" t="str">
        <f>""</f>
        <v/>
      </c>
      <c r="C133" s="2" t="str">
        <f>"(0.0459)"</f>
        <v>(0.0459)</v>
      </c>
    </row>
    <row r="134" spans="1:3" x14ac:dyDescent="0.25">
      <c r="A134" t="s">
        <v>67</v>
      </c>
      <c r="B134" s="2" t="str">
        <f>""</f>
        <v/>
      </c>
      <c r="C134" s="2" t="str">
        <f>"-0.0234"</f>
        <v>-0.0234</v>
      </c>
    </row>
    <row r="135" spans="1:3" x14ac:dyDescent="0.25">
      <c r="B135" s="2" t="str">
        <f>""</f>
        <v/>
      </c>
      <c r="C135" s="2" t="str">
        <f>"(0.0343)"</f>
        <v>(0.0343)</v>
      </c>
    </row>
    <row r="136" spans="1:3" x14ac:dyDescent="0.25">
      <c r="A136" t="s">
        <v>68</v>
      </c>
      <c r="B136" s="2" t="str">
        <f>""</f>
        <v/>
      </c>
      <c r="C136" s="2" t="str">
        <f>"0.0512*"</f>
        <v>0.0512*</v>
      </c>
    </row>
    <row r="137" spans="1:3" x14ac:dyDescent="0.25">
      <c r="B137" s="2" t="str">
        <f>""</f>
        <v/>
      </c>
      <c r="C137" s="2" t="str">
        <f>"(0.0244)"</f>
        <v>(0.0244)</v>
      </c>
    </row>
    <row r="138" spans="1:3" x14ac:dyDescent="0.25">
      <c r="A138" t="s">
        <v>69</v>
      </c>
      <c r="B138" s="2" t="str">
        <f>""</f>
        <v/>
      </c>
      <c r="C138" s="2" t="str">
        <f>"0.0584"</f>
        <v>0.0584</v>
      </c>
    </row>
    <row r="139" spans="1:3" x14ac:dyDescent="0.25">
      <c r="B139" s="2" t="str">
        <f>""</f>
        <v/>
      </c>
      <c r="C139" s="2" t="str">
        <f>"(0.0337)"</f>
        <v>(0.0337)</v>
      </c>
    </row>
    <row r="140" spans="1:3" x14ac:dyDescent="0.25">
      <c r="A140" t="s">
        <v>70</v>
      </c>
      <c r="B140" s="2" t="str">
        <f>""</f>
        <v/>
      </c>
      <c r="C140" s="2" t="str">
        <f>"0.0157"</f>
        <v>0.0157</v>
      </c>
    </row>
    <row r="141" spans="1:3" x14ac:dyDescent="0.25">
      <c r="B141" s="2" t="str">
        <f>""</f>
        <v/>
      </c>
      <c r="C141" s="2" t="str">
        <f>"(0.0268)"</f>
        <v>(0.0268)</v>
      </c>
    </row>
    <row r="142" spans="1:3" x14ac:dyDescent="0.25">
      <c r="A142" t="s">
        <v>71</v>
      </c>
      <c r="B142" s="2" t="str">
        <f>""</f>
        <v/>
      </c>
      <c r="C142" s="2" t="str">
        <f>"-0.0108"</f>
        <v>-0.0108</v>
      </c>
    </row>
    <row r="143" spans="1:3" x14ac:dyDescent="0.25">
      <c r="A143" t="str">
        <f>""</f>
        <v/>
      </c>
      <c r="B143" s="2" t="str">
        <f>""</f>
        <v/>
      </c>
      <c r="C143" s="2" t="str">
        <f>"(0.0226)"</f>
        <v>(0.0226)</v>
      </c>
    </row>
    <row r="144" spans="1:3" x14ac:dyDescent="0.25">
      <c r="A144" t="s">
        <v>72</v>
      </c>
      <c r="B144" s="2" t="str">
        <f>""</f>
        <v/>
      </c>
      <c r="C144" s="2" t="str">
        <f>"0.00256"</f>
        <v>0.00256</v>
      </c>
    </row>
    <row r="145" spans="1:3" x14ac:dyDescent="0.25">
      <c r="A145" t="str">
        <f>""</f>
        <v/>
      </c>
      <c r="B145" s="2" t="str">
        <f>""</f>
        <v/>
      </c>
      <c r="C145" s="2" t="str">
        <f>"(0.0195)"</f>
        <v>(0.0195)</v>
      </c>
    </row>
    <row r="146" spans="1:3" x14ac:dyDescent="0.25">
      <c r="A146" t="s">
        <v>73</v>
      </c>
      <c r="B146" s="2" t="str">
        <f>""</f>
        <v/>
      </c>
      <c r="C146" s="2" t="str">
        <f>"-0.0539"</f>
        <v>-0.0539</v>
      </c>
    </row>
    <row r="147" spans="1:3" x14ac:dyDescent="0.25">
      <c r="A147" t="str">
        <f>""</f>
        <v/>
      </c>
      <c r="B147" s="2" t="str">
        <f>""</f>
        <v/>
      </c>
      <c r="C147" s="2" t="str">
        <f>"(0.0381)"</f>
        <v>(0.0381)</v>
      </c>
    </row>
    <row r="148" spans="1:3" x14ac:dyDescent="0.25">
      <c r="A148" t="s">
        <v>74</v>
      </c>
      <c r="B148" s="2" t="str">
        <f>""</f>
        <v/>
      </c>
      <c r="C148" s="2" t="str">
        <f>"0.0315"</f>
        <v>0.0315</v>
      </c>
    </row>
    <row r="149" spans="1:3" x14ac:dyDescent="0.25">
      <c r="A149" t="str">
        <f>""</f>
        <v/>
      </c>
      <c r="B149" s="2" t="str">
        <f>""</f>
        <v/>
      </c>
      <c r="C149" s="2" t="str">
        <f>"(0.0398)"</f>
        <v>(0.0398)</v>
      </c>
    </row>
    <row r="150" spans="1:3" x14ac:dyDescent="0.25">
      <c r="A150" t="s">
        <v>75</v>
      </c>
      <c r="B150" s="2" t="str">
        <f>""</f>
        <v/>
      </c>
      <c r="C150" s="2" t="str">
        <f>"-0.0184"</f>
        <v>-0.0184</v>
      </c>
    </row>
    <row r="151" spans="1:3" x14ac:dyDescent="0.25">
      <c r="A151" t="str">
        <f>""</f>
        <v/>
      </c>
      <c r="B151" s="2" t="str">
        <f>""</f>
        <v/>
      </c>
      <c r="C151" s="2" t="str">
        <f>"(0.0475)"</f>
        <v>(0.0475)</v>
      </c>
    </row>
    <row r="152" spans="1:3" x14ac:dyDescent="0.25">
      <c r="A152" t="s">
        <v>76</v>
      </c>
      <c r="B152" s="2" t="str">
        <f>""</f>
        <v/>
      </c>
      <c r="C152" s="2" t="str">
        <f>"-0.0176"</f>
        <v>-0.0176</v>
      </c>
    </row>
    <row r="153" spans="1:3" x14ac:dyDescent="0.25">
      <c r="A153" t="str">
        <f>""</f>
        <v/>
      </c>
      <c r="B153" s="2" t="str">
        <f>""</f>
        <v/>
      </c>
      <c r="C153" s="2" t="str">
        <f>"(0.0197)"</f>
        <v>(0.0197)</v>
      </c>
    </row>
    <row r="154" spans="1:3" x14ac:dyDescent="0.25">
      <c r="A154" t="s">
        <v>77</v>
      </c>
      <c r="B154" s="2" t="str">
        <f>""</f>
        <v/>
      </c>
      <c r="C154" s="2" t="str">
        <f>"-0.0321"</f>
        <v>-0.0321</v>
      </c>
    </row>
    <row r="155" spans="1:3" x14ac:dyDescent="0.25">
      <c r="A155" t="str">
        <f>""</f>
        <v/>
      </c>
      <c r="B155" s="2" t="str">
        <f>""</f>
        <v/>
      </c>
      <c r="C155" s="2" t="str">
        <f>"(0.0198)"</f>
        <v>(0.0198)</v>
      </c>
    </row>
    <row r="156" spans="1:3" x14ac:dyDescent="0.25">
      <c r="A156" t="s">
        <v>78</v>
      </c>
      <c r="B156" s="2" t="str">
        <f>""</f>
        <v/>
      </c>
      <c r="C156" s="2" t="str">
        <f>"0.0224"</f>
        <v>0.0224</v>
      </c>
    </row>
    <row r="157" spans="1:3" x14ac:dyDescent="0.25">
      <c r="A157" t="str">
        <f>""</f>
        <v/>
      </c>
      <c r="B157" s="2" t="str">
        <f>""</f>
        <v/>
      </c>
      <c r="C157" s="2" t="str">
        <f>"(0.0346)"</f>
        <v>(0.0346)</v>
      </c>
    </row>
    <row r="158" spans="1:3" x14ac:dyDescent="0.25">
      <c r="A158" t="s">
        <v>79</v>
      </c>
      <c r="B158" s="2" t="str">
        <f>""</f>
        <v/>
      </c>
      <c r="C158" s="2" t="str">
        <f>"-0.0374"</f>
        <v>-0.0374</v>
      </c>
    </row>
    <row r="159" spans="1:3" x14ac:dyDescent="0.25">
      <c r="A159" t="str">
        <f>""</f>
        <v/>
      </c>
      <c r="B159" s="2" t="str">
        <f>""</f>
        <v/>
      </c>
      <c r="C159" s="2" t="str">
        <f>"(0.0406)"</f>
        <v>(0.0406)</v>
      </c>
    </row>
    <row r="160" spans="1:3" x14ac:dyDescent="0.25">
      <c r="A160" t="s">
        <v>80</v>
      </c>
      <c r="B160" s="2" t="str">
        <f>""</f>
        <v/>
      </c>
      <c r="C160" s="2" t="str">
        <f>"-0.00843"</f>
        <v>-0.00843</v>
      </c>
    </row>
    <row r="161" spans="1:3" x14ac:dyDescent="0.25">
      <c r="A161" t="str">
        <f>""</f>
        <v/>
      </c>
      <c r="B161" s="2" t="str">
        <f>""</f>
        <v/>
      </c>
      <c r="C161" s="2" t="str">
        <f>"(0.0450)"</f>
        <v>(0.0450)</v>
      </c>
    </row>
    <row r="162" spans="1:3" x14ac:dyDescent="0.25">
      <c r="A162" t="s">
        <v>81</v>
      </c>
      <c r="B162" s="2" t="str">
        <f>""</f>
        <v/>
      </c>
      <c r="C162" s="2" t="str">
        <f>"-0.0188"</f>
        <v>-0.0188</v>
      </c>
    </row>
    <row r="163" spans="1:3" x14ac:dyDescent="0.25">
      <c r="A163" t="str">
        <f>""</f>
        <v/>
      </c>
      <c r="B163" s="2" t="str">
        <f>""</f>
        <v/>
      </c>
      <c r="C163" s="2" t="str">
        <f>"(0.0195)"</f>
        <v>(0.0195)</v>
      </c>
    </row>
    <row r="164" spans="1:3" x14ac:dyDescent="0.25">
      <c r="A164" t="s">
        <v>82</v>
      </c>
      <c r="B164" s="2" t="str">
        <f>""</f>
        <v/>
      </c>
      <c r="C164" s="2" t="str">
        <f>"-0.00804"</f>
        <v>-0.00804</v>
      </c>
    </row>
    <row r="165" spans="1:3" x14ac:dyDescent="0.25">
      <c r="A165" t="str">
        <f>""</f>
        <v/>
      </c>
      <c r="B165" s="2" t="str">
        <f>""</f>
        <v/>
      </c>
      <c r="C165" s="2" t="str">
        <f>"(0.0186)"</f>
        <v>(0.0186)</v>
      </c>
    </row>
    <row r="166" spans="1:3" x14ac:dyDescent="0.25">
      <c r="A166" t="s">
        <v>83</v>
      </c>
      <c r="B166" s="2" t="str">
        <f>""</f>
        <v/>
      </c>
      <c r="C166" s="2" t="str">
        <f>"-0.0237"</f>
        <v>-0.0237</v>
      </c>
    </row>
    <row r="167" spans="1:3" x14ac:dyDescent="0.25">
      <c r="A167" t="str">
        <f>""</f>
        <v/>
      </c>
      <c r="B167" s="2" t="str">
        <f>""</f>
        <v/>
      </c>
      <c r="C167" s="2" t="str">
        <f>"(0.0248)"</f>
        <v>(0.0248)</v>
      </c>
    </row>
    <row r="168" spans="1:3" x14ac:dyDescent="0.25">
      <c r="A168" t="s">
        <v>84</v>
      </c>
      <c r="B168" s="2" t="str">
        <f>""</f>
        <v/>
      </c>
      <c r="C168" s="2" t="str">
        <f>"-0.0310"</f>
        <v>-0.0310</v>
      </c>
    </row>
    <row r="169" spans="1:3" x14ac:dyDescent="0.25">
      <c r="A169" t="str">
        <f>""</f>
        <v/>
      </c>
      <c r="B169" s="2" t="str">
        <f>""</f>
        <v/>
      </c>
      <c r="C169" s="2" t="str">
        <f>"(0.0466)"</f>
        <v>(0.0466)</v>
      </c>
    </row>
    <row r="170" spans="1:3" x14ac:dyDescent="0.25">
      <c r="A170" t="s">
        <v>85</v>
      </c>
      <c r="B170" s="2" t="str">
        <f>""</f>
        <v/>
      </c>
      <c r="C170" s="2" t="str">
        <f>"-0.0700*"</f>
        <v>-0.0700*</v>
      </c>
    </row>
    <row r="171" spans="1:3" x14ac:dyDescent="0.25">
      <c r="A171" t="str">
        <f>""</f>
        <v/>
      </c>
      <c r="B171" s="2" t="str">
        <f>""</f>
        <v/>
      </c>
      <c r="C171" s="2" t="str">
        <f>"(0.0320)"</f>
        <v>(0.0320)</v>
      </c>
    </row>
    <row r="172" spans="1:3" x14ac:dyDescent="0.25">
      <c r="A172" t="s">
        <v>86</v>
      </c>
      <c r="B172" s="2" t="str">
        <f>""</f>
        <v/>
      </c>
      <c r="C172" s="2" t="str">
        <f>"-0.0126"</f>
        <v>-0.0126</v>
      </c>
    </row>
    <row r="173" spans="1:3" x14ac:dyDescent="0.25">
      <c r="A173" t="str">
        <f>""</f>
        <v/>
      </c>
      <c r="B173" s="2" t="str">
        <f>""</f>
        <v/>
      </c>
      <c r="C173" s="2" t="str">
        <f>"(0.0199)"</f>
        <v>(0.0199)</v>
      </c>
    </row>
    <row r="174" spans="1:3" x14ac:dyDescent="0.25">
      <c r="A174" t="s">
        <v>87</v>
      </c>
      <c r="B174" s="2" t="str">
        <f>""</f>
        <v/>
      </c>
      <c r="C174" s="2" t="str">
        <f>"0.0540"</f>
        <v>0.0540</v>
      </c>
    </row>
    <row r="175" spans="1:3" x14ac:dyDescent="0.25">
      <c r="A175" t="str">
        <f>""</f>
        <v/>
      </c>
      <c r="B175" s="2" t="str">
        <f>""</f>
        <v/>
      </c>
      <c r="C175" s="2" t="str">
        <f>"(0.0672)"</f>
        <v>(0.0672)</v>
      </c>
    </row>
    <row r="176" spans="1:3" x14ac:dyDescent="0.25">
      <c r="A176" t="s">
        <v>88</v>
      </c>
      <c r="B176" s="2" t="str">
        <f>""</f>
        <v/>
      </c>
      <c r="C176" s="2" t="str">
        <f>"0.0326"</f>
        <v>0.0326</v>
      </c>
    </row>
    <row r="177" spans="1:3" x14ac:dyDescent="0.25">
      <c r="A177" t="str">
        <f>""</f>
        <v/>
      </c>
      <c r="B177" s="2" t="str">
        <f>""</f>
        <v/>
      </c>
      <c r="C177" s="2" t="str">
        <f>"(0.0518)"</f>
        <v>(0.0518)</v>
      </c>
    </row>
    <row r="178" spans="1:3" x14ac:dyDescent="0.25">
      <c r="A178" t="s">
        <v>89</v>
      </c>
      <c r="B178" s="2" t="str">
        <f>""</f>
        <v/>
      </c>
      <c r="C178" s="2" t="str">
        <f>"0.0120"</f>
        <v>0.0120</v>
      </c>
    </row>
    <row r="179" spans="1:3" x14ac:dyDescent="0.25">
      <c r="A179" t="str">
        <f>""</f>
        <v/>
      </c>
      <c r="B179" s="2" t="str">
        <f>""</f>
        <v/>
      </c>
      <c r="C179" s="2" t="str">
        <f>"(0.0454)"</f>
        <v>(0.0454)</v>
      </c>
    </row>
    <row r="180" spans="1:3" x14ac:dyDescent="0.25">
      <c r="A180" t="s">
        <v>90</v>
      </c>
      <c r="B180" s="2" t="str">
        <f>""</f>
        <v/>
      </c>
      <c r="C180" s="2" t="str">
        <f>"-0.0363"</f>
        <v>-0.0363</v>
      </c>
    </row>
    <row r="181" spans="1:3" x14ac:dyDescent="0.25">
      <c r="A181" t="str">
        <f>""</f>
        <v/>
      </c>
      <c r="B181" s="2" t="str">
        <f>""</f>
        <v/>
      </c>
      <c r="C181" s="2" t="str">
        <f>"(0.0416)"</f>
        <v>(0.0416)</v>
      </c>
    </row>
    <row r="182" spans="1:3" x14ac:dyDescent="0.25">
      <c r="A182" t="s">
        <v>91</v>
      </c>
      <c r="B182" s="2" t="str">
        <f>""</f>
        <v/>
      </c>
      <c r="C182" s="2" t="str">
        <f>"-0.0297"</f>
        <v>-0.0297</v>
      </c>
    </row>
    <row r="183" spans="1:3" x14ac:dyDescent="0.25">
      <c r="A183" t="str">
        <f>""</f>
        <v/>
      </c>
      <c r="B183" s="2" t="str">
        <f>""</f>
        <v/>
      </c>
      <c r="C183" s="2" t="str">
        <f>"(0.123)"</f>
        <v>(0.123)</v>
      </c>
    </row>
    <row r="184" spans="1:3" x14ac:dyDescent="0.25">
      <c r="A184" t="s">
        <v>92</v>
      </c>
      <c r="B184" s="2" t="str">
        <f>""</f>
        <v/>
      </c>
      <c r="C184" s="2" t="str">
        <f>"0.165*"</f>
        <v>0.165*</v>
      </c>
    </row>
    <row r="185" spans="1:3" x14ac:dyDescent="0.25">
      <c r="A185" t="str">
        <f>""</f>
        <v/>
      </c>
      <c r="B185" s="2" t="str">
        <f>""</f>
        <v/>
      </c>
      <c r="C185" s="2" t="str">
        <f>"(0.0647)"</f>
        <v>(0.0647)</v>
      </c>
    </row>
    <row r="186" spans="1:3" x14ac:dyDescent="0.25">
      <c r="A186" t="s">
        <v>93</v>
      </c>
      <c r="B186" s="2" t="str">
        <f>""</f>
        <v/>
      </c>
      <c r="C186" s="2" t="str">
        <f>"0.0445"</f>
        <v>0.0445</v>
      </c>
    </row>
    <row r="187" spans="1:3" x14ac:dyDescent="0.25">
      <c r="A187" t="str">
        <f>""</f>
        <v/>
      </c>
      <c r="B187" s="2" t="str">
        <f>""</f>
        <v/>
      </c>
      <c r="C187" s="2" t="str">
        <f>"(0.0664)"</f>
        <v>(0.0664)</v>
      </c>
    </row>
    <row r="188" spans="1:3" x14ac:dyDescent="0.25">
      <c r="A188" t="s">
        <v>94</v>
      </c>
      <c r="B188" s="2" t="str">
        <f>""</f>
        <v/>
      </c>
      <c r="C188" s="2" t="str">
        <f>"0.0428"</f>
        <v>0.0428</v>
      </c>
    </row>
    <row r="189" spans="1:3" x14ac:dyDescent="0.25">
      <c r="A189" t="str">
        <f>""</f>
        <v/>
      </c>
      <c r="B189" s="2" t="str">
        <f>""</f>
        <v/>
      </c>
      <c r="C189" s="2" t="str">
        <f>"(0.0333)"</f>
        <v>(0.0333)</v>
      </c>
    </row>
    <row r="190" spans="1:3" x14ac:dyDescent="0.25">
      <c r="A190" t="s">
        <v>95</v>
      </c>
      <c r="B190" s="2" t="str">
        <f>""</f>
        <v/>
      </c>
      <c r="C190" s="2" t="str">
        <f>"-0.00237"</f>
        <v>-0.00237</v>
      </c>
    </row>
    <row r="191" spans="1:3" x14ac:dyDescent="0.25">
      <c r="A191" t="str">
        <f>""</f>
        <v/>
      </c>
      <c r="B191" s="2" t="str">
        <f>""</f>
        <v/>
      </c>
      <c r="C191" s="2" t="str">
        <f>"(0.0250)"</f>
        <v>(0.0250)</v>
      </c>
    </row>
    <row r="192" spans="1:3" x14ac:dyDescent="0.25">
      <c r="A192" t="s">
        <v>96</v>
      </c>
      <c r="B192" s="2" t="str">
        <f>""</f>
        <v/>
      </c>
      <c r="C192" s="2" t="str">
        <f>"-0.0419*"</f>
        <v>-0.0419*</v>
      </c>
    </row>
    <row r="193" spans="1:3" x14ac:dyDescent="0.25">
      <c r="A193" t="str">
        <f>""</f>
        <v/>
      </c>
      <c r="B193" s="2" t="str">
        <f>""</f>
        <v/>
      </c>
      <c r="C193" s="2" t="str">
        <f>"(0.0210)"</f>
        <v>(0.0210)</v>
      </c>
    </row>
    <row r="194" spans="1:3" x14ac:dyDescent="0.25">
      <c r="A194" t="s">
        <v>97</v>
      </c>
      <c r="B194" s="2" t="str">
        <f>""</f>
        <v/>
      </c>
      <c r="C194" s="2" t="str">
        <f>"0.00848"</f>
        <v>0.00848</v>
      </c>
    </row>
    <row r="195" spans="1:3" x14ac:dyDescent="0.25">
      <c r="A195" t="str">
        <f>""</f>
        <v/>
      </c>
      <c r="B195" s="2" t="str">
        <f>""</f>
        <v/>
      </c>
      <c r="C195" s="2" t="str">
        <f>"(0.0339)"</f>
        <v>(0.0339)</v>
      </c>
    </row>
    <row r="196" spans="1:3" x14ac:dyDescent="0.25">
      <c r="A196" t="s">
        <v>98</v>
      </c>
      <c r="B196" s="2" t="str">
        <f>""</f>
        <v/>
      </c>
      <c r="C196" s="2" t="str">
        <f>"-0.0500*"</f>
        <v>-0.0500*</v>
      </c>
    </row>
    <row r="197" spans="1:3" x14ac:dyDescent="0.25">
      <c r="A197" t="str">
        <f>""</f>
        <v/>
      </c>
      <c r="B197" s="2" t="str">
        <f>""</f>
        <v/>
      </c>
      <c r="C197" s="2" t="str">
        <f>"(0.0222)"</f>
        <v>(0.0222)</v>
      </c>
    </row>
    <row r="198" spans="1:3" x14ac:dyDescent="0.25">
      <c r="A198" t="s">
        <v>99</v>
      </c>
      <c r="B198" s="2" t="str">
        <f>""</f>
        <v/>
      </c>
      <c r="C198" s="2" t="str">
        <f>"-0.0929*"</f>
        <v>-0.0929*</v>
      </c>
    </row>
    <row r="199" spans="1:3" x14ac:dyDescent="0.25">
      <c r="A199" t="str">
        <f>""</f>
        <v/>
      </c>
      <c r="B199" s="2" t="str">
        <f>""</f>
        <v/>
      </c>
      <c r="C199" s="2" t="str">
        <f>"(0.0414)"</f>
        <v>(0.0414)</v>
      </c>
    </row>
    <row r="200" spans="1:3" x14ac:dyDescent="0.25">
      <c r="A200" t="s">
        <v>100</v>
      </c>
      <c r="B200" s="2" t="str">
        <f>""</f>
        <v/>
      </c>
      <c r="C200" s="2" t="str">
        <f>"-0.0476"</f>
        <v>-0.0476</v>
      </c>
    </row>
    <row r="201" spans="1:3" x14ac:dyDescent="0.25">
      <c r="A201" t="str">
        <f>""</f>
        <v/>
      </c>
      <c r="B201" s="2" t="str">
        <f>""</f>
        <v/>
      </c>
      <c r="C201" s="2" t="str">
        <f>"(0.0339)"</f>
        <v>(0.0339)</v>
      </c>
    </row>
    <row r="202" spans="1:3" x14ac:dyDescent="0.25">
      <c r="A202" t="s">
        <v>101</v>
      </c>
      <c r="B202" s="2" t="str">
        <f>""</f>
        <v/>
      </c>
      <c r="C202" s="2" t="str">
        <f>"-0.0185"</f>
        <v>-0.0185</v>
      </c>
    </row>
    <row r="203" spans="1:3" x14ac:dyDescent="0.25">
      <c r="A203" t="str">
        <f>""</f>
        <v/>
      </c>
      <c r="B203" s="2" t="str">
        <f>""</f>
        <v/>
      </c>
      <c r="C203" s="2" t="str">
        <f>"(0.0389)"</f>
        <v>(0.0389)</v>
      </c>
    </row>
    <row r="204" spans="1:3" x14ac:dyDescent="0.25">
      <c r="A204" t="s">
        <v>102</v>
      </c>
      <c r="B204" s="2" t="str">
        <f>""</f>
        <v/>
      </c>
      <c r="C204" s="2" t="str">
        <f>"-0.0758*"</f>
        <v>-0.0758*</v>
      </c>
    </row>
    <row r="205" spans="1:3" x14ac:dyDescent="0.25">
      <c r="A205" t="str">
        <f>""</f>
        <v/>
      </c>
      <c r="B205" s="2" t="str">
        <f>""</f>
        <v/>
      </c>
      <c r="C205" s="2" t="str">
        <f>"(0.0360)"</f>
        <v>(0.0360)</v>
      </c>
    </row>
    <row r="206" spans="1:3" x14ac:dyDescent="0.25">
      <c r="A206" t="s">
        <v>103</v>
      </c>
      <c r="B206" s="2" t="str">
        <f>""</f>
        <v/>
      </c>
      <c r="C206" s="2" t="str">
        <f>"-0.0781"</f>
        <v>-0.0781</v>
      </c>
    </row>
    <row r="207" spans="1:3" x14ac:dyDescent="0.25">
      <c r="A207" t="str">
        <f>""</f>
        <v/>
      </c>
      <c r="B207" s="2" t="str">
        <f>""</f>
        <v/>
      </c>
      <c r="C207" s="2" t="str">
        <f>"(0.0439)"</f>
        <v>(0.0439)</v>
      </c>
    </row>
    <row r="208" spans="1:3" x14ac:dyDescent="0.25">
      <c r="A208" t="s">
        <v>104</v>
      </c>
      <c r="B208" s="2" t="str">
        <f>""</f>
        <v/>
      </c>
      <c r="C208" s="2" t="str">
        <f>"0.0775"</f>
        <v>0.0775</v>
      </c>
    </row>
    <row r="209" spans="1:3" x14ac:dyDescent="0.25">
      <c r="A209" t="str">
        <f>""</f>
        <v/>
      </c>
      <c r="B209" s="2" t="str">
        <f>""</f>
        <v/>
      </c>
      <c r="C209" s="2" t="str">
        <f>"(0.0396)"</f>
        <v>(0.0396)</v>
      </c>
    </row>
    <row r="210" spans="1:3" x14ac:dyDescent="0.25">
      <c r="A210" t="s">
        <v>105</v>
      </c>
      <c r="B210" s="2" t="str">
        <f>""</f>
        <v/>
      </c>
      <c r="C210" s="2" t="str">
        <f>"0.0635**"</f>
        <v>0.0635**</v>
      </c>
    </row>
    <row r="211" spans="1:3" x14ac:dyDescent="0.25">
      <c r="A211" t="str">
        <f>""</f>
        <v/>
      </c>
      <c r="B211" s="2" t="str">
        <f>""</f>
        <v/>
      </c>
      <c r="C211" s="2" t="str">
        <f>"(0.0200)"</f>
        <v>(0.0200)</v>
      </c>
    </row>
    <row r="212" spans="1:3" x14ac:dyDescent="0.25">
      <c r="A212" t="s">
        <v>106</v>
      </c>
      <c r="B212" s="2" t="str">
        <f>""</f>
        <v/>
      </c>
      <c r="C212" s="2" t="str">
        <f>"0.0136"</f>
        <v>0.0136</v>
      </c>
    </row>
    <row r="213" spans="1:3" x14ac:dyDescent="0.25">
      <c r="A213" t="str">
        <f>""</f>
        <v/>
      </c>
      <c r="B213" s="2" t="str">
        <f>""</f>
        <v/>
      </c>
      <c r="C213" s="2" t="str">
        <f>"(0.0227)"</f>
        <v>(0.0227)</v>
      </c>
    </row>
    <row r="214" spans="1:3" x14ac:dyDescent="0.25">
      <c r="A214" t="s">
        <v>107</v>
      </c>
      <c r="B214" s="2" t="str">
        <f>""</f>
        <v/>
      </c>
      <c r="C214" s="2" t="str">
        <f>"0.0451"</f>
        <v>0.0451</v>
      </c>
    </row>
    <row r="215" spans="1:3" x14ac:dyDescent="0.25">
      <c r="A215" t="str">
        <f>""</f>
        <v/>
      </c>
      <c r="B215" s="2" t="str">
        <f>""</f>
        <v/>
      </c>
      <c r="C215" s="2" t="str">
        <f>"(0.0242)"</f>
        <v>(0.0242)</v>
      </c>
    </row>
    <row r="216" spans="1:3" x14ac:dyDescent="0.25">
      <c r="A216" t="s">
        <v>108</v>
      </c>
      <c r="B216" s="2" t="str">
        <f>""</f>
        <v/>
      </c>
      <c r="C216" s="2" t="str">
        <f>"-0.0151"</f>
        <v>-0.0151</v>
      </c>
    </row>
    <row r="217" spans="1:3" x14ac:dyDescent="0.25">
      <c r="A217" t="str">
        <f>""</f>
        <v/>
      </c>
      <c r="B217" s="2" t="str">
        <f>""</f>
        <v/>
      </c>
      <c r="C217" s="2" t="str">
        <f>"(0.0335)"</f>
        <v>(0.0335)</v>
      </c>
    </row>
    <row r="218" spans="1:3" x14ac:dyDescent="0.25">
      <c r="A218" t="s">
        <v>109</v>
      </c>
      <c r="B218" s="2" t="str">
        <f>""</f>
        <v/>
      </c>
      <c r="C218" s="2" t="str">
        <f>"0.0142"</f>
        <v>0.0142</v>
      </c>
    </row>
    <row r="219" spans="1:3" x14ac:dyDescent="0.25">
      <c r="A219" t="str">
        <f>""</f>
        <v/>
      </c>
      <c r="B219" s="2" t="str">
        <f>""</f>
        <v/>
      </c>
      <c r="C219" s="2" t="str">
        <f>"(0.0197)"</f>
        <v>(0.0197)</v>
      </c>
    </row>
    <row r="220" spans="1:3" x14ac:dyDescent="0.25">
      <c r="A220" t="s">
        <v>110</v>
      </c>
      <c r="B220" s="2" t="str">
        <f>""</f>
        <v/>
      </c>
      <c r="C220" s="2" t="str">
        <f>"0.0327"</f>
        <v>0.0327</v>
      </c>
    </row>
    <row r="221" spans="1:3" x14ac:dyDescent="0.25">
      <c r="A221" t="str">
        <f>""</f>
        <v/>
      </c>
      <c r="B221" s="2" t="str">
        <f>""</f>
        <v/>
      </c>
      <c r="C221" s="2" t="str">
        <f>"(0.0218)"</f>
        <v>(0.0218)</v>
      </c>
    </row>
    <row r="222" spans="1:3" x14ac:dyDescent="0.25">
      <c r="A222" t="s">
        <v>111</v>
      </c>
      <c r="B222" s="2" t="str">
        <f>""</f>
        <v/>
      </c>
      <c r="C222" s="2" t="str">
        <f>"0.0530"</f>
        <v>0.0530</v>
      </c>
    </row>
    <row r="223" spans="1:3" x14ac:dyDescent="0.25">
      <c r="A223" t="str">
        <f>""</f>
        <v/>
      </c>
      <c r="B223" s="2" t="str">
        <f>""</f>
        <v/>
      </c>
      <c r="C223" s="2" t="str">
        <f>"(0.0492)"</f>
        <v>(0.0492)</v>
      </c>
    </row>
    <row r="224" spans="1:3" x14ac:dyDescent="0.25">
      <c r="A224" t="s">
        <v>112</v>
      </c>
      <c r="B224" s="2" t="str">
        <f>""</f>
        <v/>
      </c>
      <c r="C224" s="2" t="str">
        <f>"0.0404"</f>
        <v>0.0404</v>
      </c>
    </row>
    <row r="225" spans="1:3" x14ac:dyDescent="0.25">
      <c r="A225" t="str">
        <f>""</f>
        <v/>
      </c>
      <c r="B225" s="2" t="str">
        <f>""</f>
        <v/>
      </c>
      <c r="C225" s="2" t="str">
        <f>"(0.0244)"</f>
        <v>(0.0244)</v>
      </c>
    </row>
    <row r="226" spans="1:3" x14ac:dyDescent="0.25">
      <c r="A226" t="s">
        <v>113</v>
      </c>
      <c r="B226" s="2" t="str">
        <f>""</f>
        <v/>
      </c>
      <c r="C226" s="2" t="str">
        <f>"0.0599**"</f>
        <v>0.0599**</v>
      </c>
    </row>
    <row r="227" spans="1:3" x14ac:dyDescent="0.25">
      <c r="A227" t="str">
        <f>""</f>
        <v/>
      </c>
      <c r="B227" s="2" t="str">
        <f>""</f>
        <v/>
      </c>
      <c r="C227" s="2" t="str">
        <f>"(0.0203)"</f>
        <v>(0.0203)</v>
      </c>
    </row>
    <row r="228" spans="1:3" x14ac:dyDescent="0.25">
      <c r="A228" t="s">
        <v>114</v>
      </c>
      <c r="B228" s="2" t="str">
        <f>""</f>
        <v/>
      </c>
      <c r="C228" s="2" t="str">
        <f>"0.0336"</f>
        <v>0.0336</v>
      </c>
    </row>
    <row r="229" spans="1:3" x14ac:dyDescent="0.25">
      <c r="A229" t="str">
        <f>""</f>
        <v/>
      </c>
      <c r="B229" s="2" t="str">
        <f>""</f>
        <v/>
      </c>
      <c r="C229" s="2" t="str">
        <f>"(0.0533)"</f>
        <v>(0.0533)</v>
      </c>
    </row>
    <row r="230" spans="1:3" x14ac:dyDescent="0.25">
      <c r="A230" t="str">
        <f>"Observations"</f>
        <v>Observations</v>
      </c>
      <c r="B230" s="2" t="str">
        <f>"36575"</f>
        <v>36575</v>
      </c>
      <c r="C230" s="2" t="str">
        <f>"36575"</f>
        <v>36575</v>
      </c>
    </row>
  </sheetData>
  <mergeCells count="3">
    <mergeCell ref="A1:XFD1"/>
    <mergeCell ref="F4:L7"/>
    <mergeCell ref="F9:L11"/>
  </mergeCells>
  <pageMargins left="0.7" right="0.7" top="0.75" bottom="0.75" header="0.3" footer="0.3"/>
  <ignoredErrors>
    <ignoredError sqref="B8:C229"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4D7C-F688-4729-AD3C-8EE255170829}">
  <dimension ref="A1:L218"/>
  <sheetViews>
    <sheetView workbookViewId="0">
      <selection activeCell="A2" sqref="A2"/>
    </sheetView>
  </sheetViews>
  <sheetFormatPr defaultRowHeight="15" x14ac:dyDescent="0.25"/>
  <cols>
    <col min="1" max="1" width="47.5703125" bestFit="1" customWidth="1"/>
    <col min="2" max="2" width="10.28515625" style="2" bestFit="1" customWidth="1"/>
    <col min="3" max="3" width="11.42578125" style="2" bestFit="1" customWidth="1"/>
  </cols>
  <sheetData>
    <row r="1" spans="1:12" s="10" customFormat="1" x14ac:dyDescent="0.25">
      <c r="A1" s="10" t="s">
        <v>119</v>
      </c>
    </row>
    <row r="2" spans="1:12" s="4" customFormat="1" x14ac:dyDescent="0.25">
      <c r="B2" s="6"/>
      <c r="C2" s="6"/>
    </row>
    <row r="3" spans="1:12" x14ac:dyDescent="0.25">
      <c r="A3" s="4" t="s">
        <v>23</v>
      </c>
      <c r="B3" s="6" t="s">
        <v>2</v>
      </c>
      <c r="C3" s="6" t="s">
        <v>3</v>
      </c>
      <c r="F3" s="5" t="s">
        <v>1</v>
      </c>
      <c r="G3" s="3"/>
      <c r="H3" s="3"/>
      <c r="I3" s="3"/>
      <c r="J3" s="3"/>
      <c r="K3" s="3"/>
    </row>
    <row r="4" spans="1:12" x14ac:dyDescent="0.25">
      <c r="A4" t="s">
        <v>7</v>
      </c>
      <c r="B4" s="2" t="str">
        <f>"0.0234"</f>
        <v>0.0234</v>
      </c>
      <c r="C4" s="2" t="str">
        <f>"0.0315"</f>
        <v>0.0315</v>
      </c>
      <c r="F4" s="9" t="s">
        <v>118</v>
      </c>
      <c r="G4" s="9"/>
      <c r="H4" s="9"/>
      <c r="I4" s="9"/>
      <c r="J4" s="9"/>
      <c r="K4" s="9"/>
      <c r="L4" s="9"/>
    </row>
    <row r="5" spans="1:12" x14ac:dyDescent="0.25">
      <c r="A5" t="s">
        <v>126</v>
      </c>
      <c r="B5" s="2" t="str">
        <f>"(0.0683)"</f>
        <v>(0.0683)</v>
      </c>
      <c r="C5" s="2" t="str">
        <f>"(0.0680)"</f>
        <v>(0.0680)</v>
      </c>
      <c r="F5" s="9"/>
      <c r="G5" s="9"/>
      <c r="H5" s="9"/>
      <c r="I5" s="9"/>
      <c r="J5" s="9"/>
      <c r="K5" s="9"/>
      <c r="L5" s="9"/>
    </row>
    <row r="6" spans="1:12" x14ac:dyDescent="0.25">
      <c r="A6" t="s">
        <v>130</v>
      </c>
      <c r="B6" s="2" t="str">
        <f>"-0.108**"</f>
        <v>-0.108**</v>
      </c>
      <c r="C6" s="2" t="str">
        <f>"-0.102**"</f>
        <v>-0.102**</v>
      </c>
      <c r="F6" s="9"/>
      <c r="G6" s="9"/>
      <c r="H6" s="9"/>
      <c r="I6" s="9"/>
      <c r="J6" s="9"/>
      <c r="K6" s="9"/>
      <c r="L6" s="9"/>
    </row>
    <row r="7" spans="1:12" x14ac:dyDescent="0.25">
      <c r="A7" t="s">
        <v>126</v>
      </c>
      <c r="B7" s="2" t="str">
        <f>"(0.0340)"</f>
        <v>(0.0340)</v>
      </c>
      <c r="C7" s="2" t="str">
        <f>"(0.0319)"</f>
        <v>(0.0319)</v>
      </c>
      <c r="F7" s="9"/>
      <c r="G7" s="9"/>
      <c r="H7" s="9"/>
      <c r="I7" s="9"/>
      <c r="J7" s="9"/>
      <c r="K7" s="9"/>
      <c r="L7" s="9"/>
    </row>
    <row r="8" spans="1:12" x14ac:dyDescent="0.25">
      <c r="A8" t="s">
        <v>131</v>
      </c>
      <c r="B8" s="2" t="str">
        <f>"-0.0659*"</f>
        <v>-0.0659*</v>
      </c>
      <c r="C8" s="2" t="str">
        <f>"-0.0604*"</f>
        <v>-0.0604*</v>
      </c>
      <c r="F8" s="3"/>
      <c r="G8" s="3"/>
      <c r="H8" s="3"/>
      <c r="I8" s="3"/>
      <c r="J8" s="3"/>
      <c r="K8" s="3"/>
    </row>
    <row r="9" spans="1:12" x14ac:dyDescent="0.25">
      <c r="A9" t="s">
        <v>126</v>
      </c>
      <c r="B9" s="2" t="str">
        <f>"(0.0311)"</f>
        <v>(0.0311)</v>
      </c>
      <c r="C9" s="2" t="str">
        <f>"(0.0294)"</f>
        <v>(0.0294)</v>
      </c>
      <c r="F9" s="9" t="s">
        <v>135</v>
      </c>
      <c r="G9" s="9"/>
      <c r="H9" s="9"/>
      <c r="I9" s="9"/>
      <c r="J9" s="9"/>
      <c r="K9" s="9"/>
      <c r="L9" s="9"/>
    </row>
    <row r="10" spans="1:12" x14ac:dyDescent="0.25">
      <c r="A10" t="s">
        <v>8</v>
      </c>
      <c r="B10" s="2" t="str">
        <f>"-0.0204"</f>
        <v>-0.0204</v>
      </c>
      <c r="C10" s="2" t="str">
        <f>"-0.0145"</f>
        <v>-0.0145</v>
      </c>
      <c r="F10" s="9"/>
      <c r="G10" s="9"/>
      <c r="H10" s="9"/>
      <c r="I10" s="9"/>
      <c r="J10" s="9"/>
      <c r="K10" s="9"/>
      <c r="L10" s="9"/>
    </row>
    <row r="11" spans="1:12" x14ac:dyDescent="0.25">
      <c r="A11" t="s">
        <v>126</v>
      </c>
      <c r="B11" s="2" t="str">
        <f>"(0.0313)"</f>
        <v>(0.0313)</v>
      </c>
      <c r="C11" s="2" t="str">
        <f>"(0.0311)"</f>
        <v>(0.0311)</v>
      </c>
      <c r="F11" s="9"/>
      <c r="G11" s="9"/>
      <c r="H11" s="9"/>
      <c r="I11" s="9"/>
      <c r="J11" s="9"/>
      <c r="K11" s="9"/>
      <c r="L11" s="9"/>
    </row>
    <row r="12" spans="1:12" x14ac:dyDescent="0.25">
      <c r="A12" t="s">
        <v>9</v>
      </c>
      <c r="B12" s="2" t="str">
        <f>"-0.682***"</f>
        <v>-0.682***</v>
      </c>
      <c r="C12" s="2" t="str">
        <f>"-0.682***"</f>
        <v>-0.682***</v>
      </c>
    </row>
    <row r="13" spans="1:12" x14ac:dyDescent="0.25">
      <c r="A13" t="s">
        <v>126</v>
      </c>
      <c r="B13" s="2" t="str">
        <f>"(0.0611)"</f>
        <v>(0.0611)</v>
      </c>
      <c r="C13" s="2" t="str">
        <f>"(0.0610)"</f>
        <v>(0.0610)</v>
      </c>
      <c r="F13" t="s">
        <v>0</v>
      </c>
    </row>
    <row r="14" spans="1:12" x14ac:dyDescent="0.25">
      <c r="A14" t="s">
        <v>10</v>
      </c>
      <c r="B14" s="2" t="str">
        <f>"0.0595"</f>
        <v>0.0595</v>
      </c>
      <c r="C14" s="2" t="str">
        <f>"0.0193"</f>
        <v>0.0193</v>
      </c>
    </row>
    <row r="15" spans="1:12" x14ac:dyDescent="0.25">
      <c r="A15" t="s">
        <v>126</v>
      </c>
      <c r="B15" s="2" t="str">
        <f>"(0.0364)"</f>
        <v>(0.0364)</v>
      </c>
      <c r="C15" s="2" t="str">
        <f>"(0.0352)"</f>
        <v>(0.0352)</v>
      </c>
    </row>
    <row r="16" spans="1:12" x14ac:dyDescent="0.25">
      <c r="A16" t="s">
        <v>11</v>
      </c>
      <c r="B16" s="2" t="str">
        <f>"0.00251"</f>
        <v>0.00251</v>
      </c>
      <c r="C16" s="2" t="str">
        <f>"-0.0340"</f>
        <v>-0.0340</v>
      </c>
    </row>
    <row r="17" spans="1:3" x14ac:dyDescent="0.25">
      <c r="A17" t="s">
        <v>126</v>
      </c>
      <c r="B17" s="2" t="str">
        <f>"(0.0652)"</f>
        <v>(0.0652)</v>
      </c>
      <c r="C17" s="2" t="str">
        <f>"(0.0624)"</f>
        <v>(0.0624)</v>
      </c>
    </row>
    <row r="18" spans="1:3" x14ac:dyDescent="0.25">
      <c r="A18" t="s">
        <v>12</v>
      </c>
      <c r="B18" s="2" t="str">
        <f>"-0.0544"</f>
        <v>-0.0544</v>
      </c>
      <c r="C18" s="2" t="str">
        <f>"-0.0835*"</f>
        <v>-0.0835*</v>
      </c>
    </row>
    <row r="19" spans="1:3" x14ac:dyDescent="0.25">
      <c r="A19" t="s">
        <v>126</v>
      </c>
      <c r="B19" s="2" t="str">
        <f>"(0.0408)"</f>
        <v>(0.0408)</v>
      </c>
      <c r="C19" s="2" t="str">
        <f>"(0.0409)"</f>
        <v>(0.0409)</v>
      </c>
    </row>
    <row r="20" spans="1:3" x14ac:dyDescent="0.25">
      <c r="A20" t="s">
        <v>13</v>
      </c>
      <c r="B20" s="2" t="str">
        <f>"0.172*"</f>
        <v>0.172*</v>
      </c>
      <c r="C20" s="2" t="str">
        <f>"0.186*"</f>
        <v>0.186*</v>
      </c>
    </row>
    <row r="21" spans="1:3" x14ac:dyDescent="0.25">
      <c r="A21" t="s">
        <v>126</v>
      </c>
      <c r="B21" s="2" t="str">
        <f>"(0.0787)"</f>
        <v>(0.0787)</v>
      </c>
      <c r="C21" s="2" t="str">
        <f>"(0.0737)"</f>
        <v>(0.0737)</v>
      </c>
    </row>
    <row r="22" spans="1:3" x14ac:dyDescent="0.25">
      <c r="A22" t="s">
        <v>14</v>
      </c>
      <c r="B22" s="2" t="str">
        <f>"-0.0666"</f>
        <v>-0.0666</v>
      </c>
      <c r="C22" s="2" t="str">
        <f>"-0.0474"</f>
        <v>-0.0474</v>
      </c>
    </row>
    <row r="23" spans="1:3" x14ac:dyDescent="0.25">
      <c r="A23" t="s">
        <v>126</v>
      </c>
      <c r="B23" s="2" t="str">
        <f>"(0.0769)"</f>
        <v>(0.0769)</v>
      </c>
      <c r="C23" s="2" t="str">
        <f>"(0.0775)"</f>
        <v>(0.0775)</v>
      </c>
    </row>
    <row r="24" spans="1:3" x14ac:dyDescent="0.25">
      <c r="A24" t="s">
        <v>15</v>
      </c>
      <c r="B24" s="2" t="str">
        <f>"0.116"</f>
        <v>0.116</v>
      </c>
      <c r="C24" s="2" t="str">
        <f>"0.155*"</f>
        <v>0.155*</v>
      </c>
    </row>
    <row r="25" spans="1:3" x14ac:dyDescent="0.25">
      <c r="A25" t="s">
        <v>126</v>
      </c>
      <c r="B25" s="2" t="str">
        <f>"(0.0966)"</f>
        <v>(0.0966)</v>
      </c>
      <c r="C25" s="2" t="str">
        <f>"(0.0773)"</f>
        <v>(0.0773)</v>
      </c>
    </row>
    <row r="26" spans="1:3" x14ac:dyDescent="0.25">
      <c r="A26" t="s">
        <v>4</v>
      </c>
      <c r="B26" s="2" t="str">
        <f>"0.000413"</f>
        <v>0.000413</v>
      </c>
      <c r="C26" s="2" t="str">
        <f>"-0.00210"</f>
        <v>-0.00210</v>
      </c>
    </row>
    <row r="27" spans="1:3" x14ac:dyDescent="0.25">
      <c r="A27" t="s">
        <v>126</v>
      </c>
      <c r="B27" s="2" t="str">
        <f>"(0.00888)"</f>
        <v>(0.00888)</v>
      </c>
      <c r="C27" s="2" t="str">
        <f>"(0.00642)"</f>
        <v>(0.00642)</v>
      </c>
    </row>
    <row r="28" spans="1:3" x14ac:dyDescent="0.25">
      <c r="A28" t="s">
        <v>5</v>
      </c>
      <c r="B28" s="2" t="str">
        <f>"0.0420*"</f>
        <v>0.0420*</v>
      </c>
      <c r="C28" s="2" t="str">
        <f>"0.0433*"</f>
        <v>0.0433*</v>
      </c>
    </row>
    <row r="29" spans="1:3" x14ac:dyDescent="0.25">
      <c r="A29" t="s">
        <v>126</v>
      </c>
      <c r="B29" s="2" t="str">
        <f>"(0.0207)"</f>
        <v>(0.0207)</v>
      </c>
      <c r="C29" s="2" t="str">
        <f>"(0.0176)"</f>
        <v>(0.0176)</v>
      </c>
    </row>
    <row r="30" spans="1:3" x14ac:dyDescent="0.25">
      <c r="A30" t="s">
        <v>16</v>
      </c>
      <c r="B30" s="2" t="str">
        <f>"0.121***"</f>
        <v>0.121***</v>
      </c>
      <c r="C30" s="2" t="str">
        <f>"0.121***"</f>
        <v>0.121***</v>
      </c>
    </row>
    <row r="31" spans="1:3" x14ac:dyDescent="0.25">
      <c r="A31" t="s">
        <v>126</v>
      </c>
      <c r="B31" s="2" t="str">
        <f>"(0.0332)"</f>
        <v>(0.0332)</v>
      </c>
      <c r="C31" s="2" t="str">
        <f>"(0.0315)"</f>
        <v>(0.0315)</v>
      </c>
    </row>
    <row r="32" spans="1:3" x14ac:dyDescent="0.25">
      <c r="A32" t="s">
        <v>17</v>
      </c>
      <c r="B32" s="2" t="str">
        <f>"0.0461*"</f>
        <v>0.0461*</v>
      </c>
      <c r="C32" s="2" t="str">
        <f>"0.0433*"</f>
        <v>0.0433*</v>
      </c>
    </row>
    <row r="33" spans="1:3" x14ac:dyDescent="0.25">
      <c r="A33" t="s">
        <v>126</v>
      </c>
      <c r="B33" s="2" t="str">
        <f>"(0.0199)"</f>
        <v>(0.0199)</v>
      </c>
      <c r="C33" s="2" t="str">
        <f>"(0.0178)"</f>
        <v>(0.0178)</v>
      </c>
    </row>
    <row r="34" spans="1:3" x14ac:dyDescent="0.25">
      <c r="A34" t="s">
        <v>19</v>
      </c>
      <c r="B34" s="2" t="str">
        <f>"-0.0302***"</f>
        <v>-0.0302***</v>
      </c>
      <c r="C34" s="2" t="str">
        <f>"-0.0327***"</f>
        <v>-0.0327***</v>
      </c>
    </row>
    <row r="35" spans="1:3" x14ac:dyDescent="0.25">
      <c r="A35" t="s">
        <v>126</v>
      </c>
      <c r="B35" s="2" t="str">
        <f>"(0.00189)"</f>
        <v>(0.00189)</v>
      </c>
      <c r="C35" s="2" t="str">
        <f>"(0.00150)"</f>
        <v>(0.00150)</v>
      </c>
    </row>
    <row r="36" spans="1:3" x14ac:dyDescent="0.25">
      <c r="A36" t="s">
        <v>26</v>
      </c>
      <c r="B36" s="2" t="str">
        <f>"-0.217***"</f>
        <v>-0.217***</v>
      </c>
      <c r="C36" s="2" t="str">
        <f>"-0.202***"</f>
        <v>-0.202***</v>
      </c>
    </row>
    <row r="37" spans="1:3" x14ac:dyDescent="0.25">
      <c r="A37" t="s">
        <v>126</v>
      </c>
      <c r="B37" s="2" t="str">
        <f>"(0.0393)"</f>
        <v>(0.0393)</v>
      </c>
      <c r="C37" s="2" t="str">
        <f>"(0.0390)"</f>
        <v>(0.0390)</v>
      </c>
    </row>
    <row r="38" spans="1:3" x14ac:dyDescent="0.25">
      <c r="A38" t="s">
        <v>20</v>
      </c>
      <c r="B38" s="2" t="str">
        <f>"0.126***"</f>
        <v>0.126***</v>
      </c>
      <c r="C38" s="2" t="str">
        <f>"0.132***"</f>
        <v>0.132***</v>
      </c>
    </row>
    <row r="39" spans="1:3" x14ac:dyDescent="0.25">
      <c r="A39" t="s">
        <v>126</v>
      </c>
      <c r="B39" s="2" t="str">
        <f>"(0.00783)"</f>
        <v>(0.00783)</v>
      </c>
      <c r="C39" s="2" t="str">
        <f>"(0.00411)"</f>
        <v>(0.00411)</v>
      </c>
    </row>
    <row r="40" spans="1:3" x14ac:dyDescent="0.25">
      <c r="A40" t="s">
        <v>21</v>
      </c>
      <c r="B40" s="2" t="str">
        <f>"-0.0656**"</f>
        <v>-0.0656**</v>
      </c>
      <c r="C40" s="2" t="str">
        <f>"-0.0870***"</f>
        <v>-0.0870***</v>
      </c>
    </row>
    <row r="41" spans="1:3" x14ac:dyDescent="0.25">
      <c r="A41" t="str">
        <f>""</f>
        <v/>
      </c>
      <c r="B41" s="2" t="str">
        <f>"(0.0205)"</f>
        <v>(0.0205)</v>
      </c>
      <c r="C41" s="2" t="str">
        <f>"(0.0118)"</f>
        <v>(0.0118)</v>
      </c>
    </row>
    <row r="42" spans="1:3" x14ac:dyDescent="0.25">
      <c r="A42" t="s">
        <v>27</v>
      </c>
      <c r="B42" s="2" t="str">
        <f>""</f>
        <v/>
      </c>
      <c r="C42" s="2" t="str">
        <f>"0.0520"</f>
        <v>0.0520</v>
      </c>
    </row>
    <row r="43" spans="1:3" x14ac:dyDescent="0.25">
      <c r="B43" s="2" t="str">
        <f>""</f>
        <v/>
      </c>
      <c r="C43" s="2" t="str">
        <f>"(0.0872)"</f>
        <v>(0.0872)</v>
      </c>
    </row>
    <row r="44" spans="1:3" x14ac:dyDescent="0.25">
      <c r="A44" t="s">
        <v>28</v>
      </c>
      <c r="B44" s="2" t="str">
        <f>""</f>
        <v/>
      </c>
      <c r="C44" s="2" t="str">
        <f>"-0.286***"</f>
        <v>-0.286***</v>
      </c>
    </row>
    <row r="45" spans="1:3" x14ac:dyDescent="0.25">
      <c r="B45" s="2" t="str">
        <f>""</f>
        <v/>
      </c>
      <c r="C45" s="2" t="str">
        <f>"(0.0669)"</f>
        <v>(0.0669)</v>
      </c>
    </row>
    <row r="46" spans="1:3" x14ac:dyDescent="0.25">
      <c r="A46" t="s">
        <v>29</v>
      </c>
      <c r="B46" s="2" t="str">
        <f>""</f>
        <v/>
      </c>
      <c r="C46" s="2" t="str">
        <f>"-0.0111"</f>
        <v>-0.0111</v>
      </c>
    </row>
    <row r="47" spans="1:3" x14ac:dyDescent="0.25">
      <c r="B47" s="2" t="str">
        <f>""</f>
        <v/>
      </c>
      <c r="C47" s="2" t="str">
        <f>"(0.110)"</f>
        <v>(0.110)</v>
      </c>
    </row>
    <row r="48" spans="1:3" x14ac:dyDescent="0.25">
      <c r="A48" t="s">
        <v>30</v>
      </c>
      <c r="B48" s="2" t="str">
        <f>""</f>
        <v/>
      </c>
      <c r="C48" s="2" t="str">
        <f>"-0.00407"</f>
        <v>-0.00407</v>
      </c>
    </row>
    <row r="49" spans="1:3" x14ac:dyDescent="0.25">
      <c r="B49" s="2" t="str">
        <f>""</f>
        <v/>
      </c>
      <c r="C49" s="2" t="str">
        <f>"(0.0703)"</f>
        <v>(0.0703)</v>
      </c>
    </row>
    <row r="50" spans="1:3" x14ac:dyDescent="0.25">
      <c r="A50" t="s">
        <v>31</v>
      </c>
      <c r="B50" s="2" t="str">
        <f>""</f>
        <v/>
      </c>
      <c r="C50" s="2" t="str">
        <f>"-0.105"</f>
        <v>-0.105</v>
      </c>
    </row>
    <row r="51" spans="1:3" x14ac:dyDescent="0.25">
      <c r="B51" s="2" t="str">
        <f>""</f>
        <v/>
      </c>
      <c r="C51" s="2" t="str">
        <f>"(0.0585)"</f>
        <v>(0.0585)</v>
      </c>
    </row>
    <row r="52" spans="1:3" x14ac:dyDescent="0.25">
      <c r="A52" t="s">
        <v>32</v>
      </c>
      <c r="B52" s="2" t="str">
        <f>""</f>
        <v/>
      </c>
      <c r="C52" s="2" t="str">
        <f>"0.0962"</f>
        <v>0.0962</v>
      </c>
    </row>
    <row r="53" spans="1:3" x14ac:dyDescent="0.25">
      <c r="B53" s="2" t="str">
        <f>""</f>
        <v/>
      </c>
      <c r="C53" s="2" t="str">
        <f>"(0.0689)"</f>
        <v>(0.0689)</v>
      </c>
    </row>
    <row r="54" spans="1:3" x14ac:dyDescent="0.25">
      <c r="A54" t="s">
        <v>33</v>
      </c>
      <c r="B54" s="2" t="str">
        <f>""</f>
        <v/>
      </c>
      <c r="C54" s="2" t="str">
        <f>"-0.0584"</f>
        <v>-0.0584</v>
      </c>
    </row>
    <row r="55" spans="1:3" x14ac:dyDescent="0.25">
      <c r="B55" s="2" t="str">
        <f>""</f>
        <v/>
      </c>
      <c r="C55" s="2" t="str">
        <f>"(0.148)"</f>
        <v>(0.148)</v>
      </c>
    </row>
    <row r="56" spans="1:3" x14ac:dyDescent="0.25">
      <c r="A56" t="s">
        <v>34</v>
      </c>
      <c r="B56" s="2" t="str">
        <f>""</f>
        <v/>
      </c>
      <c r="C56" s="2" t="str">
        <f>"-0.00648"</f>
        <v>-0.00648</v>
      </c>
    </row>
    <row r="57" spans="1:3" x14ac:dyDescent="0.25">
      <c r="B57" s="2" t="str">
        <f>""</f>
        <v/>
      </c>
      <c r="C57" s="2" t="str">
        <f>"(0.144)"</f>
        <v>(0.144)</v>
      </c>
    </row>
    <row r="58" spans="1:3" x14ac:dyDescent="0.25">
      <c r="A58" t="s">
        <v>35</v>
      </c>
      <c r="B58" s="2" t="str">
        <f>""</f>
        <v/>
      </c>
      <c r="C58" s="2" t="str">
        <f>"0.253"</f>
        <v>0.253</v>
      </c>
    </row>
    <row r="59" spans="1:3" x14ac:dyDescent="0.25">
      <c r="B59" s="2" t="str">
        <f>""</f>
        <v/>
      </c>
      <c r="C59" s="2" t="str">
        <f>"(0.167)"</f>
        <v>(0.167)</v>
      </c>
    </row>
    <row r="60" spans="1:3" x14ac:dyDescent="0.25">
      <c r="A60" t="s">
        <v>36</v>
      </c>
      <c r="B60" s="2" t="str">
        <f>""</f>
        <v/>
      </c>
      <c r="C60" s="2" t="str">
        <f>"0.0532"</f>
        <v>0.0532</v>
      </c>
    </row>
    <row r="61" spans="1:3" x14ac:dyDescent="0.25">
      <c r="B61" s="2" t="str">
        <f>""</f>
        <v/>
      </c>
      <c r="C61" s="2" t="str">
        <f>"(0.0962)"</f>
        <v>(0.0962)</v>
      </c>
    </row>
    <row r="62" spans="1:3" x14ac:dyDescent="0.25">
      <c r="A62" t="s">
        <v>37</v>
      </c>
      <c r="B62" s="2" t="str">
        <f>""</f>
        <v/>
      </c>
      <c r="C62" s="2" t="str">
        <f>"0.636*"</f>
        <v>0.636*</v>
      </c>
    </row>
    <row r="63" spans="1:3" x14ac:dyDescent="0.25">
      <c r="B63" s="2" t="str">
        <f>""</f>
        <v/>
      </c>
      <c r="C63" s="2" t="str">
        <f>"(0.267)"</f>
        <v>(0.267)</v>
      </c>
    </row>
    <row r="64" spans="1:3" x14ac:dyDescent="0.25">
      <c r="A64" t="s">
        <v>38</v>
      </c>
      <c r="B64" s="2" t="str">
        <f>""</f>
        <v/>
      </c>
      <c r="C64" s="2" t="str">
        <f>"-0.192"</f>
        <v>-0.192</v>
      </c>
    </row>
    <row r="65" spans="1:3" x14ac:dyDescent="0.25">
      <c r="B65" s="2" t="str">
        <f>""</f>
        <v/>
      </c>
      <c r="C65" s="2" t="str">
        <f>"(0.146)"</f>
        <v>(0.146)</v>
      </c>
    </row>
    <row r="66" spans="1:3" x14ac:dyDescent="0.25">
      <c r="A66" t="s">
        <v>39</v>
      </c>
      <c r="B66" s="2" t="str">
        <f>""</f>
        <v/>
      </c>
      <c r="C66" s="2" t="str">
        <f>"0.243"</f>
        <v>0.243</v>
      </c>
    </row>
    <row r="67" spans="1:3" x14ac:dyDescent="0.25">
      <c r="B67" s="2" t="str">
        <f>""</f>
        <v/>
      </c>
      <c r="C67" s="2" t="str">
        <f>"(0.127)"</f>
        <v>(0.127)</v>
      </c>
    </row>
    <row r="68" spans="1:3" x14ac:dyDescent="0.25">
      <c r="A68" t="s">
        <v>40</v>
      </c>
      <c r="B68" s="2" t="str">
        <f>""</f>
        <v/>
      </c>
      <c r="C68" s="2" t="str">
        <f>"-0.0968"</f>
        <v>-0.0968</v>
      </c>
    </row>
    <row r="69" spans="1:3" x14ac:dyDescent="0.25">
      <c r="B69" s="2" t="str">
        <f>""</f>
        <v/>
      </c>
      <c r="C69" s="2" t="str">
        <f>"(0.176)"</f>
        <v>(0.176)</v>
      </c>
    </row>
    <row r="70" spans="1:3" x14ac:dyDescent="0.25">
      <c r="A70" t="s">
        <v>41</v>
      </c>
      <c r="B70" s="2" t="str">
        <f>""</f>
        <v/>
      </c>
      <c r="C70" s="2" t="str">
        <f>"0.106"</f>
        <v>0.106</v>
      </c>
    </row>
    <row r="71" spans="1:3" x14ac:dyDescent="0.25">
      <c r="B71" s="2" t="str">
        <f>""</f>
        <v/>
      </c>
      <c r="C71" s="2" t="str">
        <f>"(0.100)"</f>
        <v>(0.100)</v>
      </c>
    </row>
    <row r="72" spans="1:3" x14ac:dyDescent="0.25">
      <c r="A72" t="s">
        <v>42</v>
      </c>
      <c r="B72" s="2" t="str">
        <f>""</f>
        <v/>
      </c>
      <c r="C72" s="2" t="str">
        <f>"-0.0665"</f>
        <v>-0.0665</v>
      </c>
    </row>
    <row r="73" spans="1:3" x14ac:dyDescent="0.25">
      <c r="B73" s="2" t="str">
        <f>""</f>
        <v/>
      </c>
      <c r="C73" s="2" t="str">
        <f>"(0.0597)"</f>
        <v>(0.0597)</v>
      </c>
    </row>
    <row r="74" spans="1:3" x14ac:dyDescent="0.25">
      <c r="A74" t="s">
        <v>43</v>
      </c>
      <c r="B74" s="2" t="str">
        <f>""</f>
        <v/>
      </c>
      <c r="C74" s="2" t="str">
        <f>"-0.203***"</f>
        <v>-0.203***</v>
      </c>
    </row>
    <row r="75" spans="1:3" x14ac:dyDescent="0.25">
      <c r="B75" s="2" t="str">
        <f>""</f>
        <v/>
      </c>
      <c r="C75" s="2" t="str">
        <f>"(0.0539)"</f>
        <v>(0.0539)</v>
      </c>
    </row>
    <row r="76" spans="1:3" x14ac:dyDescent="0.25">
      <c r="A76" t="s">
        <v>44</v>
      </c>
      <c r="B76" s="2" t="str">
        <f>""</f>
        <v/>
      </c>
      <c r="C76" s="2" t="str">
        <f>"0.0641"</f>
        <v>0.0641</v>
      </c>
    </row>
    <row r="77" spans="1:3" x14ac:dyDescent="0.25">
      <c r="B77" s="2" t="str">
        <f>""</f>
        <v/>
      </c>
      <c r="C77" s="2" t="str">
        <f>"(0.0994)"</f>
        <v>(0.0994)</v>
      </c>
    </row>
    <row r="78" spans="1:3" x14ac:dyDescent="0.25">
      <c r="A78" t="s">
        <v>45</v>
      </c>
      <c r="B78" s="2" t="str">
        <f>""</f>
        <v/>
      </c>
      <c r="C78" s="2" t="str">
        <f>"-0.341*"</f>
        <v>-0.341*</v>
      </c>
    </row>
    <row r="79" spans="1:3" x14ac:dyDescent="0.25">
      <c r="B79" s="2" t="str">
        <f>""</f>
        <v/>
      </c>
      <c r="C79" s="2" t="str">
        <f>"(0.146)"</f>
        <v>(0.146)</v>
      </c>
    </row>
    <row r="80" spans="1:3" x14ac:dyDescent="0.25">
      <c r="A80" t="s">
        <v>46</v>
      </c>
      <c r="B80" s="2" t="str">
        <f>""</f>
        <v/>
      </c>
      <c r="C80" s="2" t="str">
        <f>"0.0648"</f>
        <v>0.0648</v>
      </c>
    </row>
    <row r="81" spans="1:3" x14ac:dyDescent="0.25">
      <c r="B81" s="2" t="str">
        <f>""</f>
        <v/>
      </c>
      <c r="C81" s="2" t="str">
        <f>"(0.0708)"</f>
        <v>(0.0708)</v>
      </c>
    </row>
    <row r="82" spans="1:3" x14ac:dyDescent="0.25">
      <c r="A82" t="s">
        <v>47</v>
      </c>
      <c r="B82" s="2" t="str">
        <f>""</f>
        <v/>
      </c>
      <c r="C82" s="2" t="str">
        <f>"-0.0480"</f>
        <v>-0.0480</v>
      </c>
    </row>
    <row r="83" spans="1:3" x14ac:dyDescent="0.25">
      <c r="B83" s="2" t="str">
        <f>""</f>
        <v/>
      </c>
      <c r="C83" s="2" t="str">
        <f>"(0.153)"</f>
        <v>(0.153)</v>
      </c>
    </row>
    <row r="84" spans="1:3" x14ac:dyDescent="0.25">
      <c r="A84" t="s">
        <v>48</v>
      </c>
      <c r="B84" s="2" t="str">
        <f>""</f>
        <v/>
      </c>
      <c r="C84" s="2" t="str">
        <f>"0.0961"</f>
        <v>0.0961</v>
      </c>
    </row>
    <row r="85" spans="1:3" x14ac:dyDescent="0.25">
      <c r="B85" s="2" t="str">
        <f>""</f>
        <v/>
      </c>
      <c r="C85" s="2" t="str">
        <f>"(0.0898)"</f>
        <v>(0.0898)</v>
      </c>
    </row>
    <row r="86" spans="1:3" x14ac:dyDescent="0.25">
      <c r="A86" t="s">
        <v>49</v>
      </c>
      <c r="B86" s="2" t="str">
        <f>""</f>
        <v/>
      </c>
      <c r="C86" s="2" t="str">
        <f>"0.0895"</f>
        <v>0.0895</v>
      </c>
    </row>
    <row r="87" spans="1:3" x14ac:dyDescent="0.25">
      <c r="B87" s="2" t="str">
        <f>""</f>
        <v/>
      </c>
      <c r="C87" s="2" t="str">
        <f>"(0.112)"</f>
        <v>(0.112)</v>
      </c>
    </row>
    <row r="88" spans="1:3" x14ac:dyDescent="0.25">
      <c r="A88" t="s">
        <v>50</v>
      </c>
      <c r="B88" s="2" t="str">
        <f>""</f>
        <v/>
      </c>
      <c r="C88" s="2" t="str">
        <f>"0.0899"</f>
        <v>0.0899</v>
      </c>
    </row>
    <row r="89" spans="1:3" x14ac:dyDescent="0.25">
      <c r="B89" s="2" t="str">
        <f>""</f>
        <v/>
      </c>
      <c r="C89" s="2" t="str">
        <f>"(0.269)"</f>
        <v>(0.269)</v>
      </c>
    </row>
    <row r="90" spans="1:3" x14ac:dyDescent="0.25">
      <c r="A90" t="s">
        <v>51</v>
      </c>
      <c r="B90" s="2" t="str">
        <f>""</f>
        <v/>
      </c>
      <c r="C90" s="2" t="str">
        <f>"0.0490"</f>
        <v>0.0490</v>
      </c>
    </row>
    <row r="91" spans="1:3" x14ac:dyDescent="0.25">
      <c r="B91" s="2" t="str">
        <f>""</f>
        <v/>
      </c>
      <c r="C91" s="2" t="str">
        <f>"(0.0741)"</f>
        <v>(0.0741)</v>
      </c>
    </row>
    <row r="92" spans="1:3" x14ac:dyDescent="0.25">
      <c r="A92" t="s">
        <v>52</v>
      </c>
      <c r="B92" s="2" t="str">
        <f>""</f>
        <v/>
      </c>
      <c r="C92" s="2" t="str">
        <f>"0.277*"</f>
        <v>0.277*</v>
      </c>
    </row>
    <row r="93" spans="1:3" x14ac:dyDescent="0.25">
      <c r="B93" s="2" t="str">
        <f>""</f>
        <v/>
      </c>
      <c r="C93" s="2" t="str">
        <f>"(0.115)"</f>
        <v>(0.115)</v>
      </c>
    </row>
    <row r="94" spans="1:3" x14ac:dyDescent="0.25">
      <c r="A94" t="s">
        <v>53</v>
      </c>
      <c r="B94" s="2" t="str">
        <f>""</f>
        <v/>
      </c>
      <c r="C94" s="2" t="str">
        <f>"0.305"</f>
        <v>0.305</v>
      </c>
    </row>
    <row r="95" spans="1:3" x14ac:dyDescent="0.25">
      <c r="B95" s="2" t="str">
        <f>""</f>
        <v/>
      </c>
      <c r="C95" s="2" t="str">
        <f>"(0.196)"</f>
        <v>(0.196)</v>
      </c>
    </row>
    <row r="96" spans="1:3" x14ac:dyDescent="0.25">
      <c r="A96" t="s">
        <v>54</v>
      </c>
      <c r="B96" s="2" t="str">
        <f>""</f>
        <v/>
      </c>
      <c r="C96" s="2" t="str">
        <f>"0.0331"</f>
        <v>0.0331</v>
      </c>
    </row>
    <row r="97" spans="1:3" x14ac:dyDescent="0.25">
      <c r="B97" s="2" t="str">
        <f>""</f>
        <v/>
      </c>
      <c r="C97" s="2" t="str">
        <f>"(0.214)"</f>
        <v>(0.214)</v>
      </c>
    </row>
    <row r="98" spans="1:3" x14ac:dyDescent="0.25">
      <c r="A98" t="s">
        <v>55</v>
      </c>
      <c r="B98" s="2" t="str">
        <f>""</f>
        <v/>
      </c>
      <c r="C98" s="2" t="str">
        <f>"-0.0986"</f>
        <v>-0.0986</v>
      </c>
    </row>
    <row r="99" spans="1:3" x14ac:dyDescent="0.25">
      <c r="B99" s="2" t="str">
        <f>""</f>
        <v/>
      </c>
      <c r="C99" s="2" t="str">
        <f>"(0.127)"</f>
        <v>(0.127)</v>
      </c>
    </row>
    <row r="100" spans="1:3" x14ac:dyDescent="0.25">
      <c r="A100" t="s">
        <v>56</v>
      </c>
      <c r="B100" s="2" t="str">
        <f>""</f>
        <v/>
      </c>
      <c r="C100" s="2" t="str">
        <f>"0.0385"</f>
        <v>0.0385</v>
      </c>
    </row>
    <row r="101" spans="1:3" x14ac:dyDescent="0.25">
      <c r="B101" s="2" t="str">
        <f>""</f>
        <v/>
      </c>
      <c r="C101" s="2" t="str">
        <f>"(0.161)"</f>
        <v>(0.161)</v>
      </c>
    </row>
    <row r="102" spans="1:3" x14ac:dyDescent="0.25">
      <c r="A102" t="s">
        <v>57</v>
      </c>
      <c r="B102" s="2" t="str">
        <f>""</f>
        <v/>
      </c>
      <c r="C102" s="2" t="str">
        <f>"-0.0341"</f>
        <v>-0.0341</v>
      </c>
    </row>
    <row r="103" spans="1:3" x14ac:dyDescent="0.25">
      <c r="B103" s="2" t="str">
        <f>""</f>
        <v/>
      </c>
      <c r="C103" s="2" t="str">
        <f>"(0.198)"</f>
        <v>(0.198)</v>
      </c>
    </row>
    <row r="104" spans="1:3" x14ac:dyDescent="0.25">
      <c r="A104" t="s">
        <v>58</v>
      </c>
      <c r="B104" s="2" t="str">
        <f>""</f>
        <v/>
      </c>
      <c r="C104" s="2" t="str">
        <f>"0.297**"</f>
        <v>0.297**</v>
      </c>
    </row>
    <row r="105" spans="1:3" x14ac:dyDescent="0.25">
      <c r="B105" s="2" t="str">
        <f>""</f>
        <v/>
      </c>
      <c r="C105" s="2" t="str">
        <f>"(0.113)"</f>
        <v>(0.113)</v>
      </c>
    </row>
    <row r="106" spans="1:3" x14ac:dyDescent="0.25">
      <c r="A106" t="s">
        <v>59</v>
      </c>
      <c r="B106" s="2" t="str">
        <f>""</f>
        <v/>
      </c>
      <c r="C106" s="2" t="str">
        <f>"-0.0423"</f>
        <v>-0.0423</v>
      </c>
    </row>
    <row r="107" spans="1:3" x14ac:dyDescent="0.25">
      <c r="B107" s="2" t="str">
        <f>""</f>
        <v/>
      </c>
      <c r="C107" s="2" t="str">
        <f>"(0.204)"</f>
        <v>(0.204)</v>
      </c>
    </row>
    <row r="108" spans="1:3" x14ac:dyDescent="0.25">
      <c r="A108" t="s">
        <v>60</v>
      </c>
      <c r="B108" s="2" t="str">
        <f>""</f>
        <v/>
      </c>
      <c r="C108" s="2" t="str">
        <f>"-0.0243"</f>
        <v>-0.0243</v>
      </c>
    </row>
    <row r="109" spans="1:3" x14ac:dyDescent="0.25">
      <c r="B109" s="2" t="str">
        <f>""</f>
        <v/>
      </c>
      <c r="C109" s="2" t="str">
        <f>"(0.155)"</f>
        <v>(0.155)</v>
      </c>
    </row>
    <row r="110" spans="1:3" x14ac:dyDescent="0.25">
      <c r="A110" t="s">
        <v>61</v>
      </c>
      <c r="B110" s="2" t="str">
        <f>""</f>
        <v/>
      </c>
      <c r="C110" s="2" t="str">
        <f>"0.0913"</f>
        <v>0.0913</v>
      </c>
    </row>
    <row r="111" spans="1:3" x14ac:dyDescent="0.25">
      <c r="B111" s="2" t="str">
        <f>""</f>
        <v/>
      </c>
      <c r="C111" s="2" t="str">
        <f>"(0.186)"</f>
        <v>(0.186)</v>
      </c>
    </row>
    <row r="112" spans="1:3" x14ac:dyDescent="0.25">
      <c r="A112" t="s">
        <v>62</v>
      </c>
      <c r="B112" s="2" t="str">
        <f>""</f>
        <v/>
      </c>
      <c r="C112" s="2" t="str">
        <f>"0.457***"</f>
        <v>0.457***</v>
      </c>
    </row>
    <row r="113" spans="1:3" x14ac:dyDescent="0.25">
      <c r="B113" s="2" t="str">
        <f>""</f>
        <v/>
      </c>
      <c r="C113" s="2" t="str">
        <f>"(0.117)"</f>
        <v>(0.117)</v>
      </c>
    </row>
    <row r="114" spans="1:3" x14ac:dyDescent="0.25">
      <c r="A114" t="s">
        <v>63</v>
      </c>
      <c r="B114" s="2" t="str">
        <f>""</f>
        <v/>
      </c>
      <c r="C114" s="2" t="str">
        <f>"0.0648"</f>
        <v>0.0648</v>
      </c>
    </row>
    <row r="115" spans="1:3" x14ac:dyDescent="0.25">
      <c r="B115" s="2" t="str">
        <f>""</f>
        <v/>
      </c>
      <c r="C115" s="2" t="str">
        <f>"(0.188)"</f>
        <v>(0.188)</v>
      </c>
    </row>
    <row r="116" spans="1:3" x14ac:dyDescent="0.25">
      <c r="A116" t="s">
        <v>64</v>
      </c>
      <c r="B116" s="2" t="str">
        <f>""</f>
        <v/>
      </c>
      <c r="C116" s="2" t="str">
        <f>"-0.618*"</f>
        <v>-0.618*</v>
      </c>
    </row>
    <row r="117" spans="1:3" x14ac:dyDescent="0.25">
      <c r="B117" s="2" t="str">
        <f>""</f>
        <v/>
      </c>
      <c r="C117" s="2" t="str">
        <f>"(0.241)"</f>
        <v>(0.241)</v>
      </c>
    </row>
    <row r="118" spans="1:3" x14ac:dyDescent="0.25">
      <c r="A118" t="s">
        <v>65</v>
      </c>
      <c r="B118" s="2" t="str">
        <f>""</f>
        <v/>
      </c>
      <c r="C118" s="2" t="str">
        <f>"-0.0936"</f>
        <v>-0.0936</v>
      </c>
    </row>
    <row r="119" spans="1:3" x14ac:dyDescent="0.25">
      <c r="B119" s="2" t="str">
        <f>""</f>
        <v/>
      </c>
      <c r="C119" s="2" t="str">
        <f>"(0.160)"</f>
        <v>(0.160)</v>
      </c>
    </row>
    <row r="120" spans="1:3" x14ac:dyDescent="0.25">
      <c r="A120" t="s">
        <v>66</v>
      </c>
      <c r="B120" s="2" t="str">
        <f>""</f>
        <v/>
      </c>
      <c r="C120" s="2" t="str">
        <f>"-0.0422"</f>
        <v>-0.0422</v>
      </c>
    </row>
    <row r="121" spans="1:3" x14ac:dyDescent="0.25">
      <c r="B121" s="2" t="str">
        <f>""</f>
        <v/>
      </c>
      <c r="C121" s="2" t="str">
        <f>"(0.161)"</f>
        <v>(0.161)</v>
      </c>
    </row>
    <row r="122" spans="1:3" x14ac:dyDescent="0.25">
      <c r="A122" t="s">
        <v>67</v>
      </c>
      <c r="B122" s="2" t="str">
        <f>""</f>
        <v/>
      </c>
      <c r="C122" s="2" t="str">
        <f>"-0.0115"</f>
        <v>-0.0115</v>
      </c>
    </row>
    <row r="123" spans="1:3" x14ac:dyDescent="0.25">
      <c r="B123" s="2" t="str">
        <f>""</f>
        <v/>
      </c>
      <c r="C123" s="2" t="str">
        <f>"(0.152)"</f>
        <v>(0.152)</v>
      </c>
    </row>
    <row r="124" spans="1:3" x14ac:dyDescent="0.25">
      <c r="A124" t="s">
        <v>68</v>
      </c>
      <c r="B124" s="2" t="str">
        <f>""</f>
        <v/>
      </c>
      <c r="C124" s="2" t="str">
        <f>"0.409**"</f>
        <v>0.409**</v>
      </c>
    </row>
    <row r="125" spans="1:3" x14ac:dyDescent="0.25">
      <c r="B125" s="2" t="str">
        <f>""</f>
        <v/>
      </c>
      <c r="C125" s="2" t="str">
        <f>"(0.125)"</f>
        <v>(0.125)</v>
      </c>
    </row>
    <row r="126" spans="1:3" x14ac:dyDescent="0.25">
      <c r="A126" t="s">
        <v>69</v>
      </c>
      <c r="B126" s="2" t="str">
        <f>""</f>
        <v/>
      </c>
      <c r="C126" s="2" t="str">
        <f>"-0.222"</f>
        <v>-0.222</v>
      </c>
    </row>
    <row r="127" spans="1:3" x14ac:dyDescent="0.25">
      <c r="B127" s="2" t="str">
        <f>""</f>
        <v/>
      </c>
      <c r="C127" s="2" t="str">
        <f>"(0.114)"</f>
        <v>(0.114)</v>
      </c>
    </row>
    <row r="128" spans="1:3" x14ac:dyDescent="0.25">
      <c r="A128" t="s">
        <v>70</v>
      </c>
      <c r="B128" s="2" t="str">
        <f>""</f>
        <v/>
      </c>
      <c r="C128" s="2" t="str">
        <f>"0.0865"</f>
        <v>0.0865</v>
      </c>
    </row>
    <row r="129" spans="1:3" x14ac:dyDescent="0.25">
      <c r="B129" s="2" t="str">
        <f>""</f>
        <v/>
      </c>
      <c r="C129" s="2" t="str">
        <f>"(0.106)"</f>
        <v>(0.106)</v>
      </c>
    </row>
    <row r="130" spans="1:3" x14ac:dyDescent="0.25">
      <c r="A130" t="s">
        <v>71</v>
      </c>
      <c r="B130" s="2" t="str">
        <f>""</f>
        <v/>
      </c>
      <c r="C130" s="2" t="str">
        <f>"0.0674"</f>
        <v>0.0674</v>
      </c>
    </row>
    <row r="131" spans="1:3" x14ac:dyDescent="0.25">
      <c r="A131" t="str">
        <f>""</f>
        <v/>
      </c>
      <c r="B131" s="2" t="str">
        <f>""</f>
        <v/>
      </c>
      <c r="C131" s="2" t="str">
        <f>"(0.0930)"</f>
        <v>(0.0930)</v>
      </c>
    </row>
    <row r="132" spans="1:3" x14ac:dyDescent="0.25">
      <c r="A132" t="s">
        <v>72</v>
      </c>
      <c r="B132" s="2" t="str">
        <f>""</f>
        <v/>
      </c>
      <c r="C132" s="2" t="str">
        <f>"0.330***"</f>
        <v>0.330***</v>
      </c>
    </row>
    <row r="133" spans="1:3" x14ac:dyDescent="0.25">
      <c r="A133" t="str">
        <f>""</f>
        <v/>
      </c>
      <c r="B133" s="2" t="str">
        <f>""</f>
        <v/>
      </c>
      <c r="C133" s="2" t="str">
        <f>"(0.0825)"</f>
        <v>(0.0825)</v>
      </c>
    </row>
    <row r="134" spans="1:3" x14ac:dyDescent="0.25">
      <c r="A134" t="s">
        <v>73</v>
      </c>
      <c r="B134" s="2" t="str">
        <f>""</f>
        <v/>
      </c>
      <c r="C134" s="2" t="str">
        <f>"0.235"</f>
        <v>0.235</v>
      </c>
    </row>
    <row r="135" spans="1:3" x14ac:dyDescent="0.25">
      <c r="A135" t="str">
        <f>""</f>
        <v/>
      </c>
      <c r="B135" s="2" t="str">
        <f>""</f>
        <v/>
      </c>
      <c r="C135" s="2" t="str">
        <f>"(0.183)"</f>
        <v>(0.183)</v>
      </c>
    </row>
    <row r="136" spans="1:3" x14ac:dyDescent="0.25">
      <c r="A136" t="s">
        <v>74</v>
      </c>
      <c r="B136" s="2" t="str">
        <f>""</f>
        <v/>
      </c>
      <c r="C136" s="2" t="str">
        <f>"-1.384***"</f>
        <v>-1.384***</v>
      </c>
    </row>
    <row r="137" spans="1:3" x14ac:dyDescent="0.25">
      <c r="A137" t="str">
        <f>""</f>
        <v/>
      </c>
      <c r="B137" s="2" t="str">
        <f>""</f>
        <v/>
      </c>
      <c r="C137" s="2" t="str">
        <f>"(0.335)"</f>
        <v>(0.335)</v>
      </c>
    </row>
    <row r="138" spans="1:3" x14ac:dyDescent="0.25">
      <c r="A138" t="s">
        <v>75</v>
      </c>
      <c r="B138" s="2" t="str">
        <f>""</f>
        <v/>
      </c>
      <c r="C138" s="2" t="str">
        <f>"0.00713"</f>
        <v>0.00713</v>
      </c>
    </row>
    <row r="139" spans="1:3" x14ac:dyDescent="0.25">
      <c r="A139" t="str">
        <f>""</f>
        <v/>
      </c>
      <c r="B139" s="2" t="str">
        <f>""</f>
        <v/>
      </c>
      <c r="C139" s="2" t="str">
        <f>"(0.290)"</f>
        <v>(0.290)</v>
      </c>
    </row>
    <row r="140" spans="1:3" x14ac:dyDescent="0.25">
      <c r="A140" t="s">
        <v>76</v>
      </c>
      <c r="B140" s="2" t="str">
        <f>""</f>
        <v/>
      </c>
      <c r="C140" s="2" t="str">
        <f>"0.331***"</f>
        <v>0.331***</v>
      </c>
    </row>
    <row r="141" spans="1:3" x14ac:dyDescent="0.25">
      <c r="A141" t="str">
        <f>""</f>
        <v/>
      </c>
      <c r="B141" s="2" t="str">
        <f>""</f>
        <v/>
      </c>
      <c r="C141" s="2" t="str">
        <f>"(0.0931)"</f>
        <v>(0.0931)</v>
      </c>
    </row>
    <row r="142" spans="1:3" x14ac:dyDescent="0.25">
      <c r="A142" t="s">
        <v>77</v>
      </c>
      <c r="B142" s="2" t="str">
        <f>""</f>
        <v/>
      </c>
      <c r="C142" s="2" t="str">
        <f>"0.0864"</f>
        <v>0.0864</v>
      </c>
    </row>
    <row r="143" spans="1:3" x14ac:dyDescent="0.25">
      <c r="A143" t="str">
        <f>""</f>
        <v/>
      </c>
      <c r="B143" s="2" t="str">
        <f>""</f>
        <v/>
      </c>
      <c r="C143" s="2" t="str">
        <f>"(0.0772)"</f>
        <v>(0.0772)</v>
      </c>
    </row>
    <row r="144" spans="1:3" x14ac:dyDescent="0.25">
      <c r="A144" t="s">
        <v>78</v>
      </c>
      <c r="B144" s="2" t="str">
        <f>""</f>
        <v/>
      </c>
      <c r="C144" s="2" t="str">
        <f>"0.206"</f>
        <v>0.206</v>
      </c>
    </row>
    <row r="145" spans="1:3" x14ac:dyDescent="0.25">
      <c r="A145" t="str">
        <f>""</f>
        <v/>
      </c>
      <c r="B145" s="2" t="str">
        <f>""</f>
        <v/>
      </c>
      <c r="C145" s="2" t="str">
        <f>"(0.212)"</f>
        <v>(0.212)</v>
      </c>
    </row>
    <row r="146" spans="1:3" x14ac:dyDescent="0.25">
      <c r="A146" t="s">
        <v>79</v>
      </c>
      <c r="B146" s="2" t="str">
        <f>""</f>
        <v/>
      </c>
      <c r="C146" s="2" t="str">
        <f>"0.331"</f>
        <v>0.331</v>
      </c>
    </row>
    <row r="147" spans="1:3" x14ac:dyDescent="0.25">
      <c r="A147" t="str">
        <f>""</f>
        <v/>
      </c>
      <c r="B147" s="2" t="str">
        <f>""</f>
        <v/>
      </c>
      <c r="C147" s="2" t="str">
        <f>"(0.255)"</f>
        <v>(0.255)</v>
      </c>
    </row>
    <row r="148" spans="1:3" x14ac:dyDescent="0.25">
      <c r="A148" t="s">
        <v>80</v>
      </c>
      <c r="B148" s="2" t="str">
        <f>""</f>
        <v/>
      </c>
      <c r="C148" s="2" t="str">
        <f>"0.139"</f>
        <v>0.139</v>
      </c>
    </row>
    <row r="149" spans="1:3" x14ac:dyDescent="0.25">
      <c r="A149" t="str">
        <f>""</f>
        <v/>
      </c>
      <c r="B149" s="2" t="str">
        <f>""</f>
        <v/>
      </c>
      <c r="C149" s="2" t="str">
        <f>"(0.193)"</f>
        <v>(0.193)</v>
      </c>
    </row>
    <row r="150" spans="1:3" x14ac:dyDescent="0.25">
      <c r="A150" t="s">
        <v>81</v>
      </c>
      <c r="B150" s="2" t="str">
        <f>""</f>
        <v/>
      </c>
      <c r="C150" s="2" t="str">
        <f>"0.206*"</f>
        <v>0.206*</v>
      </c>
    </row>
    <row r="151" spans="1:3" x14ac:dyDescent="0.25">
      <c r="A151" t="str">
        <f>""</f>
        <v/>
      </c>
      <c r="B151" s="2" t="str">
        <f>""</f>
        <v/>
      </c>
      <c r="C151" s="2" t="str">
        <f>"(0.0914)"</f>
        <v>(0.0914)</v>
      </c>
    </row>
    <row r="152" spans="1:3" x14ac:dyDescent="0.25">
      <c r="A152" t="s">
        <v>82</v>
      </c>
      <c r="B152" s="2" t="str">
        <f>""</f>
        <v/>
      </c>
      <c r="C152" s="2" t="str">
        <f>"0.464***"</f>
        <v>0.464***</v>
      </c>
    </row>
    <row r="153" spans="1:3" x14ac:dyDescent="0.25">
      <c r="A153" t="str">
        <f>""</f>
        <v/>
      </c>
      <c r="B153" s="2" t="str">
        <f>""</f>
        <v/>
      </c>
      <c r="C153" s="2" t="str">
        <f>"(0.0849)"</f>
        <v>(0.0849)</v>
      </c>
    </row>
    <row r="154" spans="1:3" x14ac:dyDescent="0.25">
      <c r="A154" t="s">
        <v>83</v>
      </c>
      <c r="B154" s="2" t="str">
        <f>""</f>
        <v/>
      </c>
      <c r="C154" s="2" t="str">
        <f>"0.261*"</f>
        <v>0.261*</v>
      </c>
    </row>
    <row r="155" spans="1:3" x14ac:dyDescent="0.25">
      <c r="A155" t="str">
        <f>""</f>
        <v/>
      </c>
      <c r="B155" s="2" t="str">
        <f>""</f>
        <v/>
      </c>
      <c r="C155" s="2" t="str">
        <f>"(0.107)"</f>
        <v>(0.107)</v>
      </c>
    </row>
    <row r="156" spans="1:3" x14ac:dyDescent="0.25">
      <c r="A156" t="s">
        <v>84</v>
      </c>
      <c r="B156" s="2" t="str">
        <f>""</f>
        <v/>
      </c>
      <c r="C156" s="2" t="str">
        <f>"-0.0599"</f>
        <v>-0.0599</v>
      </c>
    </row>
    <row r="157" spans="1:3" x14ac:dyDescent="0.25">
      <c r="A157" t="str">
        <f>""</f>
        <v/>
      </c>
      <c r="B157" s="2" t="str">
        <f>""</f>
        <v/>
      </c>
      <c r="C157" s="2" t="str">
        <f>"(0.178)"</f>
        <v>(0.178)</v>
      </c>
    </row>
    <row r="158" spans="1:3" x14ac:dyDescent="0.25">
      <c r="A158" t="s">
        <v>85</v>
      </c>
      <c r="B158" s="2" t="str">
        <f>""</f>
        <v/>
      </c>
      <c r="C158" s="2" t="str">
        <f>"0.0855"</f>
        <v>0.0855</v>
      </c>
    </row>
    <row r="159" spans="1:3" x14ac:dyDescent="0.25">
      <c r="A159" t="str">
        <f>""</f>
        <v/>
      </c>
      <c r="B159" s="2" t="str">
        <f>""</f>
        <v/>
      </c>
      <c r="C159" s="2" t="str">
        <f>"(0.156)"</f>
        <v>(0.156)</v>
      </c>
    </row>
    <row r="160" spans="1:3" x14ac:dyDescent="0.25">
      <c r="A160" t="s">
        <v>86</v>
      </c>
      <c r="B160" s="2" t="str">
        <f>""</f>
        <v/>
      </c>
      <c r="C160" s="2" t="str">
        <f>"0.220*"</f>
        <v>0.220*</v>
      </c>
    </row>
    <row r="161" spans="1:3" x14ac:dyDescent="0.25">
      <c r="A161" t="str">
        <f>""</f>
        <v/>
      </c>
      <c r="B161" s="2" t="str">
        <f>""</f>
        <v/>
      </c>
      <c r="C161" s="2" t="str">
        <f>"(0.0885)"</f>
        <v>(0.0885)</v>
      </c>
    </row>
    <row r="162" spans="1:3" x14ac:dyDescent="0.25">
      <c r="A162" t="s">
        <v>87</v>
      </c>
      <c r="B162" s="2" t="str">
        <f>""</f>
        <v/>
      </c>
      <c r="C162" s="2" t="str">
        <f>"0.0535"</f>
        <v>0.0535</v>
      </c>
    </row>
    <row r="163" spans="1:3" x14ac:dyDescent="0.25">
      <c r="A163" t="str">
        <f>""</f>
        <v/>
      </c>
      <c r="B163" s="2" t="str">
        <f>""</f>
        <v/>
      </c>
      <c r="C163" s="2" t="str">
        <f>"(0.317)"</f>
        <v>(0.317)</v>
      </c>
    </row>
    <row r="164" spans="1:3" x14ac:dyDescent="0.25">
      <c r="A164" t="s">
        <v>88</v>
      </c>
      <c r="B164" s="2" t="str">
        <f>""</f>
        <v/>
      </c>
      <c r="C164" s="2" t="str">
        <f>"-0.00822"</f>
        <v>-0.00822</v>
      </c>
    </row>
    <row r="165" spans="1:3" x14ac:dyDescent="0.25">
      <c r="A165" t="str">
        <f>""</f>
        <v/>
      </c>
      <c r="B165" s="2" t="str">
        <f>""</f>
        <v/>
      </c>
      <c r="C165" s="2" t="str">
        <f>"(0.206)"</f>
        <v>(0.206)</v>
      </c>
    </row>
    <row r="166" spans="1:3" x14ac:dyDescent="0.25">
      <c r="A166" t="s">
        <v>89</v>
      </c>
      <c r="B166" s="2" t="str">
        <f>""</f>
        <v/>
      </c>
      <c r="C166" s="2" t="str">
        <f>"0.0627"</f>
        <v>0.0627</v>
      </c>
    </row>
    <row r="167" spans="1:3" x14ac:dyDescent="0.25">
      <c r="A167" t="str">
        <f>""</f>
        <v/>
      </c>
      <c r="B167" s="2" t="str">
        <f>""</f>
        <v/>
      </c>
      <c r="C167" s="2" t="str">
        <f>"(0.179)"</f>
        <v>(0.179)</v>
      </c>
    </row>
    <row r="168" spans="1:3" x14ac:dyDescent="0.25">
      <c r="A168" t="s">
        <v>90</v>
      </c>
      <c r="B168" s="2" t="str">
        <f>""</f>
        <v/>
      </c>
      <c r="C168" s="2" t="str">
        <f>"0.0816"</f>
        <v>0.0816</v>
      </c>
    </row>
    <row r="169" spans="1:3" x14ac:dyDescent="0.25">
      <c r="A169" t="str">
        <f>""</f>
        <v/>
      </c>
      <c r="B169" s="2" t="str">
        <f>""</f>
        <v/>
      </c>
      <c r="C169" s="2" t="str">
        <f>"(0.172)"</f>
        <v>(0.172)</v>
      </c>
    </row>
    <row r="170" spans="1:3" x14ac:dyDescent="0.25">
      <c r="A170" t="s">
        <v>91</v>
      </c>
      <c r="B170" s="2" t="str">
        <f>""</f>
        <v/>
      </c>
      <c r="C170" s="2" t="str">
        <f>"0.977"</f>
        <v>0.977</v>
      </c>
    </row>
    <row r="171" spans="1:3" x14ac:dyDescent="0.25">
      <c r="A171" t="str">
        <f>""</f>
        <v/>
      </c>
      <c r="B171" s="2" t="str">
        <f>""</f>
        <v/>
      </c>
      <c r="C171" s="2" t="str">
        <f>"(0.686)"</f>
        <v>(0.686)</v>
      </c>
    </row>
    <row r="172" spans="1:3" x14ac:dyDescent="0.25">
      <c r="A172" t="s">
        <v>92</v>
      </c>
      <c r="B172" s="2" t="str">
        <f>""</f>
        <v/>
      </c>
      <c r="C172" s="2" t="str">
        <f>"-0.249"</f>
        <v>-0.249</v>
      </c>
    </row>
    <row r="173" spans="1:3" x14ac:dyDescent="0.25">
      <c r="A173" t="str">
        <f>""</f>
        <v/>
      </c>
      <c r="B173" s="2" t="str">
        <f>""</f>
        <v/>
      </c>
      <c r="C173" s="2" t="str">
        <f>"(0.172)"</f>
        <v>(0.172)</v>
      </c>
    </row>
    <row r="174" spans="1:3" x14ac:dyDescent="0.25">
      <c r="A174" t="s">
        <v>93</v>
      </c>
      <c r="B174" s="2" t="str">
        <f>""</f>
        <v/>
      </c>
      <c r="C174" s="2" t="str">
        <f>"0.0999"</f>
        <v>0.0999</v>
      </c>
    </row>
    <row r="175" spans="1:3" x14ac:dyDescent="0.25">
      <c r="A175" t="str">
        <f>""</f>
        <v/>
      </c>
      <c r="B175" s="2" t="str">
        <f>""</f>
        <v/>
      </c>
      <c r="C175" s="2" t="str">
        <f>"(0.335)"</f>
        <v>(0.335)</v>
      </c>
    </row>
    <row r="176" spans="1:3" x14ac:dyDescent="0.25">
      <c r="A176" t="s">
        <v>94</v>
      </c>
      <c r="B176" s="2" t="str">
        <f>""</f>
        <v/>
      </c>
      <c r="C176" s="2" t="str">
        <f>"-0.0558"</f>
        <v>-0.0558</v>
      </c>
    </row>
    <row r="177" spans="1:3" x14ac:dyDescent="0.25">
      <c r="A177" t="str">
        <f>""</f>
        <v/>
      </c>
      <c r="B177" s="2" t="str">
        <f>""</f>
        <v/>
      </c>
      <c r="C177" s="2" t="str">
        <f>"(0.126)"</f>
        <v>(0.126)</v>
      </c>
    </row>
    <row r="178" spans="1:3" x14ac:dyDescent="0.25">
      <c r="A178" t="s">
        <v>95</v>
      </c>
      <c r="B178" s="2" t="str">
        <f>""</f>
        <v/>
      </c>
      <c r="C178" s="2" t="str">
        <f>"0.137"</f>
        <v>0.137</v>
      </c>
    </row>
    <row r="179" spans="1:3" x14ac:dyDescent="0.25">
      <c r="A179" t="str">
        <f>""</f>
        <v/>
      </c>
      <c r="B179" s="2" t="str">
        <f>""</f>
        <v/>
      </c>
      <c r="C179" s="2" t="str">
        <f>"(0.107)"</f>
        <v>(0.107)</v>
      </c>
    </row>
    <row r="180" spans="1:3" x14ac:dyDescent="0.25">
      <c r="A180" t="s">
        <v>96</v>
      </c>
      <c r="B180" s="2" t="str">
        <f>""</f>
        <v/>
      </c>
      <c r="C180" s="2" t="str">
        <f>"0.184*"</f>
        <v>0.184*</v>
      </c>
    </row>
    <row r="181" spans="1:3" x14ac:dyDescent="0.25">
      <c r="A181" t="str">
        <f>""</f>
        <v/>
      </c>
      <c r="B181" s="2" t="str">
        <f>""</f>
        <v/>
      </c>
      <c r="C181" s="2" t="str">
        <f>"(0.0933)"</f>
        <v>(0.0933)</v>
      </c>
    </row>
    <row r="182" spans="1:3" x14ac:dyDescent="0.25">
      <c r="A182" t="s">
        <v>97</v>
      </c>
      <c r="B182" s="2" t="str">
        <f>""</f>
        <v/>
      </c>
      <c r="C182" s="2" t="str">
        <f>"0.198"</f>
        <v>0.198</v>
      </c>
    </row>
    <row r="183" spans="1:3" x14ac:dyDescent="0.25">
      <c r="A183" t="str">
        <f>""</f>
        <v/>
      </c>
      <c r="B183" s="2" t="str">
        <f>""</f>
        <v/>
      </c>
      <c r="C183" s="2" t="str">
        <f>"(0.160)"</f>
        <v>(0.160)</v>
      </c>
    </row>
    <row r="184" spans="1:3" x14ac:dyDescent="0.25">
      <c r="A184" t="s">
        <v>98</v>
      </c>
      <c r="B184" s="2" t="str">
        <f>""</f>
        <v/>
      </c>
      <c r="C184" s="2" t="str">
        <f>"0.0466"</f>
        <v>0.0466</v>
      </c>
    </row>
    <row r="185" spans="1:3" x14ac:dyDescent="0.25">
      <c r="A185" t="str">
        <f>""</f>
        <v/>
      </c>
      <c r="B185" s="2" t="str">
        <f>""</f>
        <v/>
      </c>
      <c r="C185" s="2" t="str">
        <f>"(0.0901)"</f>
        <v>(0.0901)</v>
      </c>
    </row>
    <row r="186" spans="1:3" x14ac:dyDescent="0.25">
      <c r="A186" t="s">
        <v>99</v>
      </c>
      <c r="B186" s="2" t="str">
        <f>""</f>
        <v/>
      </c>
      <c r="C186" s="2" t="str">
        <f>"0.618**"</f>
        <v>0.618**</v>
      </c>
    </row>
    <row r="187" spans="1:3" x14ac:dyDescent="0.25">
      <c r="A187" t="str">
        <f>""</f>
        <v/>
      </c>
      <c r="B187" s="2" t="str">
        <f>""</f>
        <v/>
      </c>
      <c r="C187" s="2" t="str">
        <f>"(0.224)"</f>
        <v>(0.224)</v>
      </c>
    </row>
    <row r="188" spans="1:3" x14ac:dyDescent="0.25">
      <c r="A188" t="s">
        <v>100</v>
      </c>
      <c r="B188" s="2" t="str">
        <f>""</f>
        <v/>
      </c>
      <c r="C188" s="2" t="str">
        <f>"0.197"</f>
        <v>0.197</v>
      </c>
    </row>
    <row r="189" spans="1:3" x14ac:dyDescent="0.25">
      <c r="A189" t="str">
        <f>""</f>
        <v/>
      </c>
      <c r="B189" s="2" t="str">
        <f>""</f>
        <v/>
      </c>
      <c r="C189" s="2" t="str">
        <f>"(0.147)"</f>
        <v>(0.147)</v>
      </c>
    </row>
    <row r="190" spans="1:3" x14ac:dyDescent="0.25">
      <c r="A190" t="s">
        <v>101</v>
      </c>
      <c r="B190" s="2" t="str">
        <f>""</f>
        <v/>
      </c>
      <c r="C190" s="2" t="str">
        <f>"0.376"</f>
        <v>0.376</v>
      </c>
    </row>
    <row r="191" spans="1:3" x14ac:dyDescent="0.25">
      <c r="A191" t="str">
        <f>""</f>
        <v/>
      </c>
      <c r="B191" s="2" t="str">
        <f>""</f>
        <v/>
      </c>
      <c r="C191" s="2" t="str">
        <f>"(0.217)"</f>
        <v>(0.217)</v>
      </c>
    </row>
    <row r="192" spans="1:3" x14ac:dyDescent="0.25">
      <c r="A192" t="s">
        <v>102</v>
      </c>
      <c r="B192" s="2" t="str">
        <f>""</f>
        <v/>
      </c>
      <c r="C192" s="2" t="str">
        <f>"0.317*"</f>
        <v>0.317*</v>
      </c>
    </row>
    <row r="193" spans="1:3" x14ac:dyDescent="0.25">
      <c r="A193" t="str">
        <f>""</f>
        <v/>
      </c>
      <c r="B193" s="2" t="str">
        <f>""</f>
        <v/>
      </c>
      <c r="C193" s="2" t="str">
        <f>"(0.153)"</f>
        <v>(0.153)</v>
      </c>
    </row>
    <row r="194" spans="1:3" x14ac:dyDescent="0.25">
      <c r="A194" t="s">
        <v>103</v>
      </c>
      <c r="B194" s="2" t="str">
        <f>""</f>
        <v/>
      </c>
      <c r="C194" s="2" t="str">
        <f>"0.344"</f>
        <v>0.344</v>
      </c>
    </row>
    <row r="195" spans="1:3" x14ac:dyDescent="0.25">
      <c r="A195" t="str">
        <f>""</f>
        <v/>
      </c>
      <c r="B195" s="2" t="str">
        <f>""</f>
        <v/>
      </c>
      <c r="C195" s="2" t="str">
        <f>"(0.264)"</f>
        <v>(0.264)</v>
      </c>
    </row>
    <row r="196" spans="1:3" x14ac:dyDescent="0.25">
      <c r="A196" t="s">
        <v>104</v>
      </c>
      <c r="B196" s="2" t="str">
        <f>""</f>
        <v/>
      </c>
      <c r="C196" s="2" t="str">
        <f>"0.0753"</f>
        <v>0.0753</v>
      </c>
    </row>
    <row r="197" spans="1:3" x14ac:dyDescent="0.25">
      <c r="A197" t="str">
        <f>""</f>
        <v/>
      </c>
      <c r="B197" s="2" t="str">
        <f>""</f>
        <v/>
      </c>
      <c r="C197" s="2" t="str">
        <f>"(0.152)"</f>
        <v>(0.152)</v>
      </c>
    </row>
    <row r="198" spans="1:3" x14ac:dyDescent="0.25">
      <c r="A198" t="s">
        <v>105</v>
      </c>
      <c r="B198" s="2" t="str">
        <f>""</f>
        <v/>
      </c>
      <c r="C198" s="2" t="str">
        <f>"-0.0302"</f>
        <v>-0.0302</v>
      </c>
    </row>
    <row r="199" spans="1:3" x14ac:dyDescent="0.25">
      <c r="A199" t="str">
        <f>""</f>
        <v/>
      </c>
      <c r="B199" s="2" t="str">
        <f>""</f>
        <v/>
      </c>
      <c r="C199" s="2" t="str">
        <f>"(0.0643)"</f>
        <v>(0.0643)</v>
      </c>
    </row>
    <row r="200" spans="1:3" x14ac:dyDescent="0.25">
      <c r="A200" t="s">
        <v>106</v>
      </c>
      <c r="B200" s="2" t="str">
        <f>""</f>
        <v/>
      </c>
      <c r="C200" s="2" t="str">
        <f>"0.252*"</f>
        <v>0.252*</v>
      </c>
    </row>
    <row r="201" spans="1:3" x14ac:dyDescent="0.25">
      <c r="A201" t="str">
        <f>""</f>
        <v/>
      </c>
      <c r="B201" s="2" t="str">
        <f>""</f>
        <v/>
      </c>
      <c r="C201" s="2" t="str">
        <f>"(0.103)"</f>
        <v>(0.103)</v>
      </c>
    </row>
    <row r="202" spans="1:3" x14ac:dyDescent="0.25">
      <c r="A202" t="s">
        <v>107</v>
      </c>
      <c r="B202" s="2" t="str">
        <f>""</f>
        <v/>
      </c>
      <c r="C202" s="2" t="str">
        <f>"0.0671"</f>
        <v>0.0671</v>
      </c>
    </row>
    <row r="203" spans="1:3" x14ac:dyDescent="0.25">
      <c r="A203" t="str">
        <f>""</f>
        <v/>
      </c>
      <c r="B203" s="2" t="str">
        <f>""</f>
        <v/>
      </c>
      <c r="C203" s="2" t="str">
        <f>"(0.0900)"</f>
        <v>(0.0900)</v>
      </c>
    </row>
    <row r="204" spans="1:3" x14ac:dyDescent="0.25">
      <c r="A204" t="s">
        <v>108</v>
      </c>
      <c r="B204" s="2" t="str">
        <f>""</f>
        <v/>
      </c>
      <c r="C204" s="2" t="str">
        <f>"0.145"</f>
        <v>0.145</v>
      </c>
    </row>
    <row r="205" spans="1:3" x14ac:dyDescent="0.25">
      <c r="A205" t="str">
        <f>""</f>
        <v/>
      </c>
      <c r="B205" s="2" t="str">
        <f>""</f>
        <v/>
      </c>
      <c r="C205" s="2" t="str">
        <f>"(0.144)"</f>
        <v>(0.144)</v>
      </c>
    </row>
    <row r="206" spans="1:3" x14ac:dyDescent="0.25">
      <c r="A206" t="s">
        <v>109</v>
      </c>
      <c r="B206" s="2" t="str">
        <f>""</f>
        <v/>
      </c>
      <c r="C206" s="2" t="str">
        <f>"0.257***"</f>
        <v>0.257***</v>
      </c>
    </row>
    <row r="207" spans="1:3" x14ac:dyDescent="0.25">
      <c r="A207" t="str">
        <f>""</f>
        <v/>
      </c>
      <c r="B207" s="2" t="str">
        <f>""</f>
        <v/>
      </c>
      <c r="C207" s="2" t="str">
        <f>"(0.0764)"</f>
        <v>(0.0764)</v>
      </c>
    </row>
    <row r="208" spans="1:3" x14ac:dyDescent="0.25">
      <c r="A208" t="s">
        <v>110</v>
      </c>
      <c r="B208" s="2" t="str">
        <f>""</f>
        <v/>
      </c>
      <c r="C208" s="2" t="str">
        <f>"0.0959"</f>
        <v>0.0959</v>
      </c>
    </row>
    <row r="209" spans="1:3" x14ac:dyDescent="0.25">
      <c r="A209" t="str">
        <f>""</f>
        <v/>
      </c>
      <c r="B209" s="2" t="str">
        <f>""</f>
        <v/>
      </c>
      <c r="C209" s="2" t="str">
        <f>"(0.0841)"</f>
        <v>(0.0841)</v>
      </c>
    </row>
    <row r="210" spans="1:3" x14ac:dyDescent="0.25">
      <c r="A210" t="s">
        <v>111</v>
      </c>
      <c r="B210" s="2" t="str">
        <f>""</f>
        <v/>
      </c>
      <c r="C210" s="2" t="str">
        <f>"0.383*"</f>
        <v>0.383*</v>
      </c>
    </row>
    <row r="211" spans="1:3" x14ac:dyDescent="0.25">
      <c r="A211" t="str">
        <f>""</f>
        <v/>
      </c>
      <c r="B211" s="2" t="str">
        <f>""</f>
        <v/>
      </c>
      <c r="C211" s="2" t="str">
        <f>"(0.187)"</f>
        <v>(0.187)</v>
      </c>
    </row>
    <row r="212" spans="1:3" x14ac:dyDescent="0.25">
      <c r="A212" t="s">
        <v>112</v>
      </c>
      <c r="B212" s="2" t="str">
        <f>""</f>
        <v/>
      </c>
      <c r="C212" s="2" t="str">
        <f>"0.0662"</f>
        <v>0.0662</v>
      </c>
    </row>
    <row r="213" spans="1:3" x14ac:dyDescent="0.25">
      <c r="A213" t="str">
        <f>""</f>
        <v/>
      </c>
      <c r="B213" s="2" t="str">
        <f>""</f>
        <v/>
      </c>
      <c r="C213" s="2" t="str">
        <f>"(0.0801)"</f>
        <v>(0.0801)</v>
      </c>
    </row>
    <row r="214" spans="1:3" x14ac:dyDescent="0.25">
      <c r="A214" t="s">
        <v>113</v>
      </c>
      <c r="B214" s="2" t="str">
        <f>""</f>
        <v/>
      </c>
      <c r="C214" s="2" t="str">
        <f>"0.170*"</f>
        <v>0.170*</v>
      </c>
    </row>
    <row r="215" spans="1:3" x14ac:dyDescent="0.25">
      <c r="A215" t="str">
        <f>""</f>
        <v/>
      </c>
      <c r="B215" s="2" t="str">
        <f>""</f>
        <v/>
      </c>
      <c r="C215" s="2" t="str">
        <f>"(0.0698)"</f>
        <v>(0.0698)</v>
      </c>
    </row>
    <row r="216" spans="1:3" x14ac:dyDescent="0.25">
      <c r="A216" t="s">
        <v>114</v>
      </c>
      <c r="B216" s="2" t="str">
        <f>""</f>
        <v/>
      </c>
      <c r="C216" s="2" t="str">
        <f>"-0.156"</f>
        <v>-0.156</v>
      </c>
    </row>
    <row r="217" spans="1:3" x14ac:dyDescent="0.25">
      <c r="A217" t="str">
        <f>""</f>
        <v/>
      </c>
      <c r="B217" s="2" t="str">
        <f>""</f>
        <v/>
      </c>
      <c r="C217" s="2" t="str">
        <f>"(0.157)"</f>
        <v>(0.157)</v>
      </c>
    </row>
    <row r="218" spans="1:3" x14ac:dyDescent="0.25">
      <c r="A218" t="str">
        <f>"Observations"</f>
        <v>Observations</v>
      </c>
      <c r="B218" s="2" t="str">
        <f>"27859"</f>
        <v>27859</v>
      </c>
      <c r="C218" s="2" t="str">
        <f>"27859"</f>
        <v>27859</v>
      </c>
    </row>
  </sheetData>
  <mergeCells count="3">
    <mergeCell ref="F4:L7"/>
    <mergeCell ref="F9:L11"/>
    <mergeCell ref="A1:XF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264B-1EC4-4461-9A22-62A4F4A9FB99}">
  <dimension ref="A1:L53"/>
  <sheetViews>
    <sheetView workbookViewId="0">
      <selection activeCell="D4" sqref="D4"/>
    </sheetView>
  </sheetViews>
  <sheetFormatPr defaultRowHeight="15" x14ac:dyDescent="0.25"/>
  <cols>
    <col min="1" max="1" width="47.5703125" bestFit="1" customWidth="1"/>
    <col min="2" max="2" width="10.28515625" bestFit="1" customWidth="1"/>
    <col min="3" max="4" width="11.28515625" bestFit="1" customWidth="1"/>
    <col min="12" max="12" width="18.28515625" customWidth="1"/>
  </cols>
  <sheetData>
    <row r="1" spans="1:12" x14ac:dyDescent="0.25">
      <c r="A1" s="10" t="s">
        <v>123</v>
      </c>
      <c r="B1" s="10"/>
      <c r="C1" s="10"/>
      <c r="D1" s="10"/>
      <c r="E1" s="10"/>
      <c r="F1" s="10"/>
      <c r="G1" s="10"/>
      <c r="H1" s="10"/>
      <c r="I1" s="10"/>
      <c r="J1" s="10"/>
      <c r="K1" s="10"/>
    </row>
    <row r="2" spans="1:12" x14ac:dyDescent="0.25">
      <c r="A2" t="str">
        <f>""</f>
        <v/>
      </c>
    </row>
    <row r="3" spans="1:12" x14ac:dyDescent="0.25">
      <c r="A3" s="4" t="s">
        <v>121</v>
      </c>
      <c r="B3" s="6" t="s">
        <v>2</v>
      </c>
      <c r="C3" s="6" t="s">
        <v>3</v>
      </c>
      <c r="D3" s="6" t="s">
        <v>120</v>
      </c>
      <c r="F3" s="5" t="s">
        <v>1</v>
      </c>
      <c r="G3" s="3"/>
      <c r="H3" s="3"/>
      <c r="I3" s="3"/>
      <c r="J3" s="3"/>
      <c r="K3" s="3"/>
    </row>
    <row r="4" spans="1:12" x14ac:dyDescent="0.25">
      <c r="A4" t="s">
        <v>7</v>
      </c>
      <c r="B4" s="2" t="str">
        <f>"-0.0930***"</f>
        <v>-0.0930***</v>
      </c>
      <c r="C4" s="2" t="str">
        <f>"-0.0815***"</f>
        <v>-0.0815***</v>
      </c>
      <c r="D4" s="2" t="str">
        <f>"-0.0732***"</f>
        <v>-0.0732***</v>
      </c>
      <c r="F4" s="12" t="s">
        <v>122</v>
      </c>
      <c r="G4" s="12"/>
      <c r="H4" s="12"/>
      <c r="I4" s="12"/>
      <c r="J4" s="12"/>
      <c r="K4" s="12"/>
      <c r="L4" s="12"/>
    </row>
    <row r="5" spans="1:12" x14ac:dyDescent="0.25">
      <c r="A5" t="str">
        <f>""</f>
        <v/>
      </c>
      <c r="B5" s="2" t="str">
        <f>"(0.0131)"</f>
        <v>(0.0131)</v>
      </c>
      <c r="C5" s="2" t="str">
        <f>"(0.0133)"</f>
        <v>(0.0133)</v>
      </c>
      <c r="D5" s="2" t="str">
        <f>"(0.0135)"</f>
        <v>(0.0135)</v>
      </c>
      <c r="F5" s="12"/>
      <c r="G5" s="12"/>
      <c r="H5" s="12"/>
      <c r="I5" s="12"/>
      <c r="J5" s="12"/>
      <c r="K5" s="12"/>
      <c r="L5" s="12"/>
    </row>
    <row r="6" spans="1:12" x14ac:dyDescent="0.25">
      <c r="A6" t="s">
        <v>125</v>
      </c>
      <c r="B6" s="2" t="str">
        <f>""</f>
        <v/>
      </c>
      <c r="C6" s="2" t="str">
        <f>"-0.0229***"</f>
        <v>-0.0229***</v>
      </c>
      <c r="D6" s="2" t="str">
        <f>"-0.0223**"</f>
        <v>-0.0223**</v>
      </c>
      <c r="F6" s="12"/>
      <c r="G6" s="12"/>
      <c r="H6" s="12"/>
      <c r="I6" s="12"/>
      <c r="J6" s="12"/>
      <c r="K6" s="12"/>
      <c r="L6" s="12"/>
    </row>
    <row r="7" spans="1:12" x14ac:dyDescent="0.25">
      <c r="A7" t="s">
        <v>126</v>
      </c>
      <c r="B7" s="2" t="str">
        <f>""</f>
        <v/>
      </c>
      <c r="C7" s="2" t="str">
        <f>"(0.00691)"</f>
        <v>(0.00691)</v>
      </c>
      <c r="D7" s="2" t="str">
        <f>"(0.00690)"</f>
        <v>(0.00690)</v>
      </c>
      <c r="F7" s="12"/>
      <c r="G7" s="12"/>
      <c r="H7" s="12"/>
      <c r="I7" s="12"/>
      <c r="J7" s="12"/>
      <c r="K7" s="12"/>
      <c r="L7" s="12"/>
    </row>
    <row r="8" spans="1:12" x14ac:dyDescent="0.25">
      <c r="A8" t="s">
        <v>127</v>
      </c>
      <c r="B8" s="2" t="str">
        <f>""</f>
        <v/>
      </c>
      <c r="C8" s="2" t="str">
        <f>"-0.0150*"</f>
        <v>-0.0150*</v>
      </c>
      <c r="D8" s="2" t="str">
        <f>"-0.0149*"</f>
        <v>-0.0149*</v>
      </c>
      <c r="F8" s="3"/>
      <c r="G8" s="3"/>
      <c r="H8" s="3"/>
      <c r="I8" s="3"/>
      <c r="J8" s="3"/>
      <c r="K8" s="3"/>
    </row>
    <row r="9" spans="1:12" x14ac:dyDescent="0.25">
      <c r="A9" t="s">
        <v>126</v>
      </c>
      <c r="B9" s="2" t="str">
        <f>""</f>
        <v/>
      </c>
      <c r="C9" s="2" t="str">
        <f>"(0.00705)"</f>
        <v>(0.00705)</v>
      </c>
      <c r="D9" s="2" t="str">
        <f>"(0.00704)"</f>
        <v>(0.00704)</v>
      </c>
      <c r="F9" s="9" t="s">
        <v>133</v>
      </c>
      <c r="G9" s="9"/>
      <c r="H9" s="9"/>
      <c r="I9" s="9"/>
      <c r="J9" s="9"/>
      <c r="K9" s="9"/>
      <c r="L9" s="9"/>
    </row>
    <row r="10" spans="1:12" x14ac:dyDescent="0.25">
      <c r="A10" t="s">
        <v>128</v>
      </c>
      <c r="B10" s="2" t="str">
        <f>""</f>
        <v/>
      </c>
      <c r="C10" s="2" t="str">
        <f>"-0.0368***"</f>
        <v>-0.0368***</v>
      </c>
      <c r="D10" s="2" t="str">
        <f>"-0.0369***"</f>
        <v>-0.0369***</v>
      </c>
      <c r="F10" s="9"/>
      <c r="G10" s="9"/>
      <c r="H10" s="9"/>
      <c r="I10" s="9"/>
      <c r="J10" s="9"/>
      <c r="K10" s="9"/>
      <c r="L10" s="9"/>
    </row>
    <row r="11" spans="1:12" x14ac:dyDescent="0.25">
      <c r="A11" t="s">
        <v>126</v>
      </c>
      <c r="B11" s="2" t="str">
        <f>""</f>
        <v/>
      </c>
      <c r="C11" s="2" t="str">
        <f>"(0.00708)"</f>
        <v>(0.00708)</v>
      </c>
      <c r="D11" s="2" t="str">
        <f>"(0.00707)"</f>
        <v>(0.00707)</v>
      </c>
      <c r="F11" s="9"/>
      <c r="G11" s="9"/>
      <c r="H11" s="9"/>
      <c r="I11" s="9"/>
      <c r="J11" s="9"/>
      <c r="K11" s="9"/>
      <c r="L11" s="9"/>
    </row>
    <row r="12" spans="1:12" x14ac:dyDescent="0.25">
      <c r="A12" t="s">
        <v>129</v>
      </c>
      <c r="B12" s="2" t="str">
        <f>""</f>
        <v/>
      </c>
      <c r="C12" s="2" t="str">
        <f>"0.0144*"</f>
        <v>0.0144*</v>
      </c>
      <c r="D12" s="2" t="str">
        <f>"0.0137"</f>
        <v>0.0137</v>
      </c>
    </row>
    <row r="13" spans="1:12" x14ac:dyDescent="0.25">
      <c r="A13" t="str">
        <f>""</f>
        <v/>
      </c>
      <c r="B13" s="2" t="str">
        <f>""</f>
        <v/>
      </c>
      <c r="C13" s="2" t="str">
        <f>"(0.00720)"</f>
        <v>(0.00720)</v>
      </c>
      <c r="D13" s="2" t="str">
        <f>"(0.00718)"</f>
        <v>(0.00718)</v>
      </c>
      <c r="F13" t="s">
        <v>0</v>
      </c>
    </row>
    <row r="14" spans="1:12" x14ac:dyDescent="0.25">
      <c r="A14" t="s">
        <v>16</v>
      </c>
      <c r="B14" s="2" t="str">
        <f>""</f>
        <v/>
      </c>
      <c r="C14" s="2" t="str">
        <f>"0.0224***"</f>
        <v>0.0224***</v>
      </c>
      <c r="D14" s="2" t="str">
        <f>"0.0207***"</f>
        <v>0.0207***</v>
      </c>
    </row>
    <row r="15" spans="1:12" x14ac:dyDescent="0.25">
      <c r="A15" t="str">
        <f>""</f>
        <v/>
      </c>
      <c r="B15" s="2" t="str">
        <f>""</f>
        <v/>
      </c>
      <c r="C15" s="2" t="str">
        <f>"(0.00538)"</f>
        <v>(0.00538)</v>
      </c>
      <c r="D15" s="2" t="str">
        <f>"(0.00538)"</f>
        <v>(0.00538)</v>
      </c>
    </row>
    <row r="16" spans="1:12" x14ac:dyDescent="0.25">
      <c r="A16" t="s">
        <v>17</v>
      </c>
      <c r="B16" s="2" t="str">
        <f>""</f>
        <v/>
      </c>
      <c r="C16" s="2" t="str">
        <f>"0.00516"</f>
        <v>0.00516</v>
      </c>
      <c r="D16" s="2" t="str">
        <f>"0.00430"</f>
        <v>0.00430</v>
      </c>
    </row>
    <row r="17" spans="1:4" x14ac:dyDescent="0.25">
      <c r="A17" t="str">
        <f>""</f>
        <v/>
      </c>
      <c r="B17" s="2" t="str">
        <f>""</f>
        <v/>
      </c>
      <c r="C17" s="2" t="str">
        <f>"(0.00373)"</f>
        <v>(0.00373)</v>
      </c>
      <c r="D17" s="2" t="str">
        <f>"(0.00374)"</f>
        <v>(0.00374)</v>
      </c>
    </row>
    <row r="18" spans="1:4" x14ac:dyDescent="0.25">
      <c r="A18" t="s">
        <v>19</v>
      </c>
      <c r="B18" s="2" t="str">
        <f>""</f>
        <v/>
      </c>
      <c r="C18" s="2" t="str">
        <f>"-0.00368***"</f>
        <v>-0.00368***</v>
      </c>
      <c r="D18" s="2" t="str">
        <f>"-0.00351***"</f>
        <v>-0.00351***</v>
      </c>
    </row>
    <row r="19" spans="1:4" x14ac:dyDescent="0.25">
      <c r="A19" t="str">
        <f>""</f>
        <v/>
      </c>
      <c r="B19" s="2" t="str">
        <f>""</f>
        <v/>
      </c>
      <c r="C19" s="2" t="str">
        <f>"(0.000389)"</f>
        <v>(0.000389)</v>
      </c>
      <c r="D19" s="2" t="str">
        <f>"(0.000389)"</f>
        <v>(0.000389)</v>
      </c>
    </row>
    <row r="20" spans="1:4" x14ac:dyDescent="0.25">
      <c r="A20" t="s">
        <v>26</v>
      </c>
      <c r="B20" s="2" t="str">
        <f>""</f>
        <v/>
      </c>
      <c r="C20" s="2" t="str">
        <f>"-0.0293***"</f>
        <v>-0.0293***</v>
      </c>
      <c r="D20" s="2" t="str">
        <f>"-0.0234**"</f>
        <v>-0.0234**</v>
      </c>
    </row>
    <row r="21" spans="1:4" x14ac:dyDescent="0.25">
      <c r="A21" t="str">
        <f>""</f>
        <v/>
      </c>
      <c r="B21" s="2" t="str">
        <f>""</f>
        <v/>
      </c>
      <c r="C21" s="2" t="str">
        <f>"(0.00827)"</f>
        <v>(0.00827)</v>
      </c>
      <c r="D21" s="2" t="str">
        <f>"(0.00828)"</f>
        <v>(0.00828)</v>
      </c>
    </row>
    <row r="22" spans="1:4" x14ac:dyDescent="0.25">
      <c r="A22" t="s">
        <v>20</v>
      </c>
      <c r="B22" s="2" t="str">
        <f>""</f>
        <v/>
      </c>
      <c r="C22" s="2" t="str">
        <f>"-0.00285***"</f>
        <v>-0.00285***</v>
      </c>
      <c r="D22" s="2" t="str">
        <f>"-0.00288***"</f>
        <v>-0.00288***</v>
      </c>
    </row>
    <row r="23" spans="1:4" x14ac:dyDescent="0.25">
      <c r="A23" t="str">
        <f>""</f>
        <v/>
      </c>
      <c r="B23" s="2" t="str">
        <f>""</f>
        <v/>
      </c>
      <c r="C23" s="2" t="str">
        <f>"(0.000517)"</f>
        <v>(0.000517)</v>
      </c>
      <c r="D23" s="2" t="str">
        <f>"(0.000522)"</f>
        <v>(0.000522)</v>
      </c>
    </row>
    <row r="24" spans="1:4" x14ac:dyDescent="0.25">
      <c r="A24" t="s">
        <v>21</v>
      </c>
      <c r="B24" s="2" t="str">
        <f>""</f>
        <v/>
      </c>
      <c r="C24" s="2" t="str">
        <f>"0.0257***"</f>
        <v>0.0257***</v>
      </c>
      <c r="D24" s="2" t="str">
        <f>"0.0245***"</f>
        <v>0.0245***</v>
      </c>
    </row>
    <row r="25" spans="1:4" x14ac:dyDescent="0.25">
      <c r="A25" t="str">
        <f>""</f>
        <v/>
      </c>
      <c r="B25" s="2" t="str">
        <f>""</f>
        <v/>
      </c>
      <c r="C25" s="2" t="str">
        <f>"(0.00178)"</f>
        <v>(0.00178)</v>
      </c>
      <c r="D25" s="2" t="str">
        <f>"(0.00179)"</f>
        <v>(0.00179)</v>
      </c>
    </row>
    <row r="26" spans="1:4" x14ac:dyDescent="0.25">
      <c r="A26" t="s">
        <v>22</v>
      </c>
      <c r="B26" s="2" t="str">
        <f>""</f>
        <v/>
      </c>
      <c r="C26" s="2" t="str">
        <f>"-0.0179*"</f>
        <v>-0.0179*</v>
      </c>
      <c r="D26" s="2" t="str">
        <f>"-0.0149"</f>
        <v>-0.0149</v>
      </c>
    </row>
    <row r="27" spans="1:4" x14ac:dyDescent="0.25">
      <c r="A27" t="str">
        <f>""</f>
        <v/>
      </c>
      <c r="B27" s="2" t="str">
        <f>""</f>
        <v/>
      </c>
      <c r="C27" s="2" t="str">
        <f>"(0.00878)"</f>
        <v>(0.00878)</v>
      </c>
      <c r="D27" s="2" t="str">
        <f>"(0.00878)"</f>
        <v>(0.00878)</v>
      </c>
    </row>
    <row r="28" spans="1:4" x14ac:dyDescent="0.25">
      <c r="A28" t="s">
        <v>130</v>
      </c>
      <c r="B28" s="2" t="str">
        <f>""</f>
        <v/>
      </c>
      <c r="C28" s="2" t="str">
        <f>""</f>
        <v/>
      </c>
      <c r="D28" s="2" t="str">
        <f>"0.0135"</f>
        <v>0.0135</v>
      </c>
    </row>
    <row r="29" spans="1:4" x14ac:dyDescent="0.25">
      <c r="A29" t="s">
        <v>126</v>
      </c>
      <c r="B29" s="2" t="str">
        <f>""</f>
        <v/>
      </c>
      <c r="C29" s="2" t="str">
        <f>""</f>
        <v/>
      </c>
      <c r="D29" s="2" t="str">
        <f>"(0.00713)"</f>
        <v>(0.00713)</v>
      </c>
    </row>
    <row r="30" spans="1:4" x14ac:dyDescent="0.25">
      <c r="A30" t="s">
        <v>131</v>
      </c>
      <c r="B30" s="2" t="str">
        <f>""</f>
        <v/>
      </c>
      <c r="C30" s="2" t="str">
        <f>""</f>
        <v/>
      </c>
      <c r="D30" s="2" t="str">
        <f>"-0.0209**"</f>
        <v>-0.0209**</v>
      </c>
    </row>
    <row r="31" spans="1:4" x14ac:dyDescent="0.25">
      <c r="A31" t="s">
        <v>126</v>
      </c>
      <c r="B31" s="2" t="str">
        <f>""</f>
        <v/>
      </c>
      <c r="C31" s="2" t="str">
        <f>""</f>
        <v/>
      </c>
      <c r="D31" s="2" t="str">
        <f>"(0.00643)"</f>
        <v>(0.00643)</v>
      </c>
    </row>
    <row r="32" spans="1:4" x14ac:dyDescent="0.25">
      <c r="A32" t="s">
        <v>8</v>
      </c>
      <c r="B32" s="2" t="str">
        <f>""</f>
        <v/>
      </c>
      <c r="C32" s="2" t="str">
        <f>""</f>
        <v/>
      </c>
      <c r="D32" s="2" t="str">
        <f>"-0.00529"</f>
        <v>-0.00529</v>
      </c>
    </row>
    <row r="33" spans="1:4" x14ac:dyDescent="0.25">
      <c r="A33" t="s">
        <v>126</v>
      </c>
      <c r="B33" s="2" t="str">
        <f>""</f>
        <v/>
      </c>
      <c r="C33" s="2" t="str">
        <f>""</f>
        <v/>
      </c>
      <c r="D33" s="2" t="str">
        <f>"(0.00685)"</f>
        <v>(0.00685)</v>
      </c>
    </row>
    <row r="34" spans="1:4" x14ac:dyDescent="0.25">
      <c r="A34" t="s">
        <v>9</v>
      </c>
      <c r="B34" s="2" t="str">
        <f>""</f>
        <v/>
      </c>
      <c r="C34" s="2" t="str">
        <f>""</f>
        <v/>
      </c>
      <c r="D34" s="2" t="str">
        <f>"-0.118***"</f>
        <v>-0.118***</v>
      </c>
    </row>
    <row r="35" spans="1:4" x14ac:dyDescent="0.25">
      <c r="A35" t="str">
        <f>""</f>
        <v/>
      </c>
      <c r="B35" s="2" t="str">
        <f>""</f>
        <v/>
      </c>
      <c r="C35" s="2" t="str">
        <f>""</f>
        <v/>
      </c>
      <c r="D35" s="2" t="str">
        <f>"(0.0224)"</f>
        <v>(0.0224)</v>
      </c>
    </row>
    <row r="36" spans="1:4" x14ac:dyDescent="0.25">
      <c r="A36" t="s">
        <v>10</v>
      </c>
      <c r="B36" s="2" t="str">
        <f>""</f>
        <v/>
      </c>
      <c r="C36" s="2" t="str">
        <f>""</f>
        <v/>
      </c>
      <c r="D36" s="2" t="str">
        <f>"0.0179*"</f>
        <v>0.0179*</v>
      </c>
    </row>
    <row r="37" spans="1:4" x14ac:dyDescent="0.25">
      <c r="A37" t="str">
        <f>""</f>
        <v/>
      </c>
      <c r="B37" s="2" t="str">
        <f>""</f>
        <v/>
      </c>
      <c r="C37" s="2" t="str">
        <f>""</f>
        <v/>
      </c>
      <c r="D37" s="2" t="str">
        <f>"(0.00804)"</f>
        <v>(0.00804)</v>
      </c>
    </row>
    <row r="38" spans="1:4" x14ac:dyDescent="0.25">
      <c r="A38" t="s">
        <v>11</v>
      </c>
      <c r="B38" s="2" t="str">
        <f>""</f>
        <v/>
      </c>
      <c r="C38" s="2" t="str">
        <f>""</f>
        <v/>
      </c>
      <c r="D38" s="2" t="str">
        <f>"0.00136"</f>
        <v>0.00136</v>
      </c>
    </row>
    <row r="39" spans="1:4" x14ac:dyDescent="0.25">
      <c r="A39" t="str">
        <f>""</f>
        <v/>
      </c>
      <c r="B39" s="2" t="str">
        <f>""</f>
        <v/>
      </c>
      <c r="C39" s="2" t="str">
        <f>""</f>
        <v/>
      </c>
      <c r="D39" s="2" t="str">
        <f>"(0.0141)"</f>
        <v>(0.0141)</v>
      </c>
    </row>
    <row r="40" spans="1:4" x14ac:dyDescent="0.25">
      <c r="A40" t="s">
        <v>12</v>
      </c>
      <c r="B40" s="2" t="str">
        <f>""</f>
        <v/>
      </c>
      <c r="C40" s="2" t="str">
        <f>""</f>
        <v/>
      </c>
      <c r="D40" s="2" t="str">
        <f>"-0.00769"</f>
        <v>-0.00769</v>
      </c>
    </row>
    <row r="41" spans="1:4" x14ac:dyDescent="0.25">
      <c r="A41" t="str">
        <f>""</f>
        <v/>
      </c>
      <c r="B41" s="2" t="str">
        <f>""</f>
        <v/>
      </c>
      <c r="C41" s="2" t="str">
        <f>""</f>
        <v/>
      </c>
      <c r="D41" s="2" t="str">
        <f>"(0.00946)"</f>
        <v>(0.00946)</v>
      </c>
    </row>
    <row r="42" spans="1:4" x14ac:dyDescent="0.25">
      <c r="A42" t="s">
        <v>13</v>
      </c>
      <c r="B42" s="2" t="str">
        <f>""</f>
        <v/>
      </c>
      <c r="C42" s="2" t="str">
        <f>""</f>
        <v/>
      </c>
      <c r="D42" s="2" t="str">
        <f>"0.0158"</f>
        <v>0.0158</v>
      </c>
    </row>
    <row r="43" spans="1:4" x14ac:dyDescent="0.25">
      <c r="A43" t="str">
        <f>""</f>
        <v/>
      </c>
      <c r="B43" s="2" t="str">
        <f>""</f>
        <v/>
      </c>
      <c r="C43" s="2" t="str">
        <f>""</f>
        <v/>
      </c>
      <c r="D43" s="2" t="str">
        <f>"(0.0163)"</f>
        <v>(0.0163)</v>
      </c>
    </row>
    <row r="44" spans="1:4" x14ac:dyDescent="0.25">
      <c r="A44" t="s">
        <v>14</v>
      </c>
      <c r="B44" s="2" t="str">
        <f>""</f>
        <v/>
      </c>
      <c r="C44" s="2" t="str">
        <f>""</f>
        <v/>
      </c>
      <c r="D44" s="2" t="str">
        <f>"-0.0663***"</f>
        <v>-0.0663***</v>
      </c>
    </row>
    <row r="45" spans="1:4" x14ac:dyDescent="0.25">
      <c r="A45" t="str">
        <f>""</f>
        <v/>
      </c>
      <c r="B45" s="2" t="str">
        <f>""</f>
        <v/>
      </c>
      <c r="C45" s="2" t="str">
        <f>""</f>
        <v/>
      </c>
      <c r="D45" s="2" t="str">
        <f>"(0.0180)"</f>
        <v>(0.0180)</v>
      </c>
    </row>
    <row r="46" spans="1:4" x14ac:dyDescent="0.25">
      <c r="A46" t="s">
        <v>15</v>
      </c>
      <c r="B46" s="2" t="str">
        <f>""</f>
        <v/>
      </c>
      <c r="C46" s="2" t="str">
        <f>""</f>
        <v/>
      </c>
      <c r="D46" s="2" t="str">
        <f>"0.00734"</f>
        <v>0.00734</v>
      </c>
    </row>
    <row r="47" spans="1:4" x14ac:dyDescent="0.25">
      <c r="A47" t="str">
        <f>""</f>
        <v/>
      </c>
      <c r="B47" s="2" t="str">
        <f>""</f>
        <v/>
      </c>
      <c r="C47" s="2" t="str">
        <f>""</f>
        <v/>
      </c>
      <c r="D47" s="2" t="str">
        <f>"(0.0159)"</f>
        <v>(0.0159)</v>
      </c>
    </row>
    <row r="48" spans="1:4" x14ac:dyDescent="0.25">
      <c r="A48" t="s">
        <v>4</v>
      </c>
      <c r="B48" s="2" t="str">
        <f>""</f>
        <v/>
      </c>
      <c r="C48" s="2" t="str">
        <f>""</f>
        <v/>
      </c>
      <c r="D48" s="2" t="str">
        <f>"0.00117"</f>
        <v>0.00117</v>
      </c>
    </row>
    <row r="49" spans="1:12" x14ac:dyDescent="0.25">
      <c r="A49" t="str">
        <f>""</f>
        <v/>
      </c>
      <c r="B49" s="2" t="str">
        <f>""</f>
        <v/>
      </c>
      <c r="C49" s="2" t="str">
        <f>""</f>
        <v/>
      </c>
      <c r="D49" s="2" t="str">
        <f>"(0.00135)"</f>
        <v>(0.00135)</v>
      </c>
    </row>
    <row r="50" spans="1:12" x14ac:dyDescent="0.25">
      <c r="A50" t="s">
        <v>5</v>
      </c>
      <c r="B50" s="2" t="str">
        <f>""</f>
        <v/>
      </c>
      <c r="C50" s="2" t="str">
        <f>""</f>
        <v/>
      </c>
      <c r="D50" s="2" t="str">
        <f>"0.00489"</f>
        <v>0.00489</v>
      </c>
    </row>
    <row r="51" spans="1:12" x14ac:dyDescent="0.25">
      <c r="A51" t="str">
        <f>""</f>
        <v/>
      </c>
      <c r="B51" s="2" t="str">
        <f>""</f>
        <v/>
      </c>
      <c r="C51" s="2" t="str">
        <f>""</f>
        <v/>
      </c>
      <c r="D51" s="2" t="str">
        <f>"(0.00377)"</f>
        <v>(0.00377)</v>
      </c>
    </row>
    <row r="52" spans="1:12" x14ac:dyDescent="0.25">
      <c r="A52" t="str">
        <f>"Observations"</f>
        <v>Observations</v>
      </c>
      <c r="B52" s="2" t="str">
        <f>"46150"</f>
        <v>46150</v>
      </c>
      <c r="C52" s="2" t="str">
        <f>"46150"</f>
        <v>46150</v>
      </c>
      <c r="D52" s="2" t="str">
        <f>"46150"</f>
        <v>46150</v>
      </c>
    </row>
    <row r="53" spans="1:12" x14ac:dyDescent="0.25">
      <c r="L53" t="str">
        <f>""</f>
        <v/>
      </c>
    </row>
  </sheetData>
  <mergeCells count="3">
    <mergeCell ref="A1:K1"/>
    <mergeCell ref="F4:L7"/>
    <mergeCell ref="F9:L11"/>
  </mergeCells>
  <pageMargins left="0.7" right="0.7" top="0.75" bottom="0.75" header="0.3" footer="0.3"/>
  <ignoredErrors>
    <ignoredError sqref="A5:D5 B4:D4 A13:D13 B6:D12 A17:D17 B14:D16 A19:D19 B18:D18 A21:D21 B20:D20 A25:D25 B22:D24 A27:D27 B26:D26 A35:D35 B28:D34 A47:D47 B36:D46 A51:D51 B48:D5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4582-3B16-4A57-9DFA-16F1CE621283}">
  <dimension ref="A1:L54"/>
  <sheetViews>
    <sheetView workbookViewId="0">
      <selection activeCell="A2" sqref="A2"/>
    </sheetView>
  </sheetViews>
  <sheetFormatPr defaultRowHeight="15" x14ac:dyDescent="0.25"/>
  <cols>
    <col min="1" max="1" width="47.5703125" bestFit="1" customWidth="1"/>
  </cols>
  <sheetData>
    <row r="1" spans="1:12" x14ac:dyDescent="0.25">
      <c r="A1" s="13" t="s">
        <v>132</v>
      </c>
      <c r="B1" s="10"/>
      <c r="C1" s="10"/>
      <c r="D1" s="10"/>
      <c r="E1" s="10"/>
      <c r="F1" s="10"/>
      <c r="G1" s="10"/>
      <c r="H1" s="10"/>
      <c r="I1" s="10"/>
      <c r="J1" s="10"/>
    </row>
    <row r="2" spans="1:12" x14ac:dyDescent="0.25">
      <c r="A2" t="str">
        <f>""</f>
        <v/>
      </c>
    </row>
    <row r="3" spans="1:12" x14ac:dyDescent="0.25">
      <c r="A3" s="4" t="s">
        <v>121</v>
      </c>
      <c r="B3" s="6" t="s">
        <v>2</v>
      </c>
      <c r="C3" s="6" t="s">
        <v>3</v>
      </c>
      <c r="D3" s="6" t="s">
        <v>120</v>
      </c>
      <c r="F3" s="5" t="s">
        <v>1</v>
      </c>
      <c r="G3" s="3"/>
      <c r="H3" s="3"/>
      <c r="I3" s="3"/>
      <c r="J3" s="3"/>
      <c r="K3" s="3"/>
    </row>
    <row r="4" spans="1:12" x14ac:dyDescent="0.25">
      <c r="A4" t="s">
        <v>7</v>
      </c>
      <c r="B4" s="2" t="str">
        <f>"-0.00479"</f>
        <v>-0.00479</v>
      </c>
      <c r="C4" s="2" t="str">
        <f>"-0.0226"</f>
        <v>-0.0226</v>
      </c>
      <c r="D4" s="2" t="str">
        <f>"-0.0162"</f>
        <v>-0.0162</v>
      </c>
      <c r="F4" s="12" t="s">
        <v>122</v>
      </c>
      <c r="G4" s="12"/>
      <c r="H4" s="12"/>
      <c r="I4" s="12"/>
      <c r="J4" s="12"/>
      <c r="K4" s="12"/>
      <c r="L4" s="12"/>
    </row>
    <row r="5" spans="1:12" x14ac:dyDescent="0.25">
      <c r="A5" t="str">
        <f>""</f>
        <v/>
      </c>
      <c r="B5" s="2" t="str">
        <f>"(0.0265)"</f>
        <v>(0.0265)</v>
      </c>
      <c r="C5" s="2" t="str">
        <f>"(0.0273)"</f>
        <v>(0.0273)</v>
      </c>
      <c r="D5" s="2" t="str">
        <f>"(0.0272)"</f>
        <v>(0.0272)</v>
      </c>
      <c r="F5" s="12"/>
      <c r="G5" s="12"/>
      <c r="H5" s="12"/>
      <c r="I5" s="12"/>
      <c r="J5" s="12"/>
      <c r="K5" s="12"/>
      <c r="L5" s="12"/>
    </row>
    <row r="6" spans="1:12" x14ac:dyDescent="0.25">
      <c r="A6" t="s">
        <v>124</v>
      </c>
      <c r="B6" s="2" t="str">
        <f>"-0.0124***"</f>
        <v>-0.0124***</v>
      </c>
      <c r="C6" s="2" t="str">
        <f>"-0.0129***"</f>
        <v>-0.0129***</v>
      </c>
      <c r="D6" s="2" t="str">
        <f>"-0.0128***"</f>
        <v>-0.0128***</v>
      </c>
      <c r="F6" s="12"/>
      <c r="G6" s="12"/>
      <c r="H6" s="12"/>
      <c r="I6" s="12"/>
      <c r="J6" s="12"/>
      <c r="K6" s="12"/>
      <c r="L6" s="12"/>
    </row>
    <row r="7" spans="1:12" x14ac:dyDescent="0.25">
      <c r="B7" s="2" t="str">
        <f>"(0.000275)"</f>
        <v>(0.000275)</v>
      </c>
      <c r="C7" s="2" t="str">
        <f>"(0.000280)"</f>
        <v>(0.000280)</v>
      </c>
      <c r="D7" s="2" t="str">
        <f>"(0.000280)"</f>
        <v>(0.000280)</v>
      </c>
      <c r="F7" s="12"/>
      <c r="G7" s="12"/>
      <c r="H7" s="12"/>
      <c r="I7" s="12"/>
      <c r="J7" s="12"/>
      <c r="K7" s="12"/>
      <c r="L7" s="12"/>
    </row>
    <row r="8" spans="1:12" x14ac:dyDescent="0.25">
      <c r="A8" t="s">
        <v>125</v>
      </c>
      <c r="B8" s="2" t="str">
        <f>""</f>
        <v/>
      </c>
      <c r="C8" s="2" t="str">
        <f>"-0.00141"</f>
        <v>-0.00141</v>
      </c>
      <c r="D8" s="2" t="str">
        <f>"-0.00111"</f>
        <v>-0.00111</v>
      </c>
      <c r="F8" s="3"/>
      <c r="G8" s="3"/>
      <c r="H8" s="3"/>
      <c r="I8" s="3"/>
      <c r="J8" s="3"/>
      <c r="K8" s="3"/>
    </row>
    <row r="9" spans="1:12" x14ac:dyDescent="0.25">
      <c r="A9" t="s">
        <v>126</v>
      </c>
      <c r="B9" s="2" t="str">
        <f>""</f>
        <v/>
      </c>
      <c r="C9" s="2" t="str">
        <f>"(0.0104)"</f>
        <v>(0.0104)</v>
      </c>
      <c r="D9" s="2" t="str">
        <f>"(0.0104)"</f>
        <v>(0.0104)</v>
      </c>
      <c r="F9" s="9" t="s">
        <v>134</v>
      </c>
      <c r="G9" s="9"/>
      <c r="H9" s="9"/>
      <c r="I9" s="9"/>
      <c r="J9" s="9"/>
      <c r="K9" s="9"/>
      <c r="L9" s="9"/>
    </row>
    <row r="10" spans="1:12" x14ac:dyDescent="0.25">
      <c r="A10" t="s">
        <v>127</v>
      </c>
      <c r="B10" s="2" t="str">
        <f>""</f>
        <v/>
      </c>
      <c r="C10" s="2" t="str">
        <f>"-0.0147"</f>
        <v>-0.0147</v>
      </c>
      <c r="D10" s="2" t="str">
        <f>"-0.0147"</f>
        <v>-0.0147</v>
      </c>
      <c r="F10" s="9"/>
      <c r="G10" s="9"/>
      <c r="H10" s="9"/>
      <c r="I10" s="9"/>
      <c r="J10" s="9"/>
      <c r="K10" s="9"/>
      <c r="L10" s="9"/>
    </row>
    <row r="11" spans="1:12" x14ac:dyDescent="0.25">
      <c r="A11" t="s">
        <v>126</v>
      </c>
      <c r="B11" s="2" t="str">
        <f>""</f>
        <v/>
      </c>
      <c r="C11" s="2" t="str">
        <f>"(0.0104)"</f>
        <v>(0.0104)</v>
      </c>
      <c r="D11" s="2" t="str">
        <f>"(0.0104)"</f>
        <v>(0.0104)</v>
      </c>
      <c r="F11" s="9"/>
      <c r="G11" s="9"/>
      <c r="H11" s="9"/>
      <c r="I11" s="9"/>
      <c r="J11" s="9"/>
      <c r="K11" s="9"/>
      <c r="L11" s="9"/>
    </row>
    <row r="12" spans="1:12" x14ac:dyDescent="0.25">
      <c r="A12" t="s">
        <v>128</v>
      </c>
      <c r="B12" s="2" t="str">
        <f>""</f>
        <v/>
      </c>
      <c r="C12" s="2" t="str">
        <f>"-0.0339**"</f>
        <v>-0.0339**</v>
      </c>
      <c r="D12" s="2" t="str">
        <f>"-0.0334**"</f>
        <v>-0.0334**</v>
      </c>
    </row>
    <row r="13" spans="1:12" x14ac:dyDescent="0.25">
      <c r="A13" t="s">
        <v>126</v>
      </c>
      <c r="B13" s="2" t="str">
        <f>""</f>
        <v/>
      </c>
      <c r="C13" s="2" t="str">
        <f>"(0.0108)"</f>
        <v>(0.0108)</v>
      </c>
      <c r="D13" s="2" t="str">
        <f>"(0.0108)"</f>
        <v>(0.0108)</v>
      </c>
      <c r="F13" t="s">
        <v>0</v>
      </c>
    </row>
    <row r="14" spans="1:12" x14ac:dyDescent="0.25">
      <c r="A14" t="s">
        <v>129</v>
      </c>
      <c r="B14" s="2" t="str">
        <f>""</f>
        <v/>
      </c>
      <c r="C14" s="2" t="str">
        <f>"-0.0115"</f>
        <v>-0.0115</v>
      </c>
      <c r="D14" s="2" t="str">
        <f>"-0.0120"</f>
        <v>-0.0120</v>
      </c>
    </row>
    <row r="15" spans="1:12" x14ac:dyDescent="0.25">
      <c r="A15" t="str">
        <f>""</f>
        <v/>
      </c>
      <c r="B15" s="2" t="str">
        <f>""</f>
        <v/>
      </c>
      <c r="C15" s="2" t="str">
        <f>"(0.0105)"</f>
        <v>(0.0105)</v>
      </c>
      <c r="D15" s="2" t="str">
        <f>"(0.0105)"</f>
        <v>(0.0105)</v>
      </c>
    </row>
    <row r="16" spans="1:12" x14ac:dyDescent="0.25">
      <c r="A16" t="s">
        <v>16</v>
      </c>
      <c r="B16" s="2" t="str">
        <f>""</f>
        <v/>
      </c>
      <c r="C16" s="2" t="str">
        <f>"-0.0125"</f>
        <v>-0.0125</v>
      </c>
      <c r="D16" s="2" t="str">
        <f>"-0.0127"</f>
        <v>-0.0127</v>
      </c>
    </row>
    <row r="17" spans="1:4" x14ac:dyDescent="0.25">
      <c r="A17" t="str">
        <f>""</f>
        <v/>
      </c>
      <c r="B17" s="2" t="str">
        <f>""</f>
        <v/>
      </c>
      <c r="C17" s="2" t="str">
        <f>"(0.00839)"</f>
        <v>(0.00839)</v>
      </c>
      <c r="D17" s="2" t="str">
        <f>"(0.00838)"</f>
        <v>(0.00838)</v>
      </c>
    </row>
    <row r="18" spans="1:4" x14ac:dyDescent="0.25">
      <c r="A18" t="s">
        <v>17</v>
      </c>
      <c r="B18" s="2" t="str">
        <f>""</f>
        <v/>
      </c>
      <c r="C18" s="2" t="str">
        <f>"-0.0113*"</f>
        <v>-0.0113*</v>
      </c>
      <c r="D18" s="2" t="str">
        <f>"-0.0108"</f>
        <v>-0.0108</v>
      </c>
    </row>
    <row r="19" spans="1:4" x14ac:dyDescent="0.25">
      <c r="A19" t="str">
        <f>""</f>
        <v/>
      </c>
      <c r="B19" s="2" t="str">
        <f>""</f>
        <v/>
      </c>
      <c r="C19" s="2" t="str">
        <f>"(0.00568)"</f>
        <v>(0.00568)</v>
      </c>
      <c r="D19" s="2" t="str">
        <f>"(0.00569)"</f>
        <v>(0.00569)</v>
      </c>
    </row>
    <row r="20" spans="1:4" x14ac:dyDescent="0.25">
      <c r="A20" t="s">
        <v>19</v>
      </c>
      <c r="B20" s="2" t="str">
        <f>""</f>
        <v/>
      </c>
      <c r="C20" s="2" t="str">
        <f>"-0.00251***"</f>
        <v>-0.00251***</v>
      </c>
      <c r="D20" s="2" t="str">
        <f>"-0.00250***"</f>
        <v>-0.00250***</v>
      </c>
    </row>
    <row r="21" spans="1:4" x14ac:dyDescent="0.25">
      <c r="A21" t="str">
        <f>""</f>
        <v/>
      </c>
      <c r="B21" s="2" t="str">
        <f>""</f>
        <v/>
      </c>
      <c r="C21" s="2" t="str">
        <f>"(0.000593)"</f>
        <v>(0.000593)</v>
      </c>
      <c r="D21" s="2" t="str">
        <f>"(0.000593)"</f>
        <v>(0.000593)</v>
      </c>
    </row>
    <row r="22" spans="1:4" x14ac:dyDescent="0.25">
      <c r="A22" t="s">
        <v>26</v>
      </c>
      <c r="B22" s="2" t="str">
        <f>""</f>
        <v/>
      </c>
      <c r="C22" s="2" t="str">
        <f>"0.00496"</f>
        <v>0.00496</v>
      </c>
      <c r="D22" s="2" t="str">
        <f>"0.00730"</f>
        <v>0.00730</v>
      </c>
    </row>
    <row r="23" spans="1:4" x14ac:dyDescent="0.25">
      <c r="A23" t="str">
        <f>""</f>
        <v/>
      </c>
      <c r="B23" s="2" t="str">
        <f>""</f>
        <v/>
      </c>
      <c r="C23" s="2" t="str">
        <f>"(0.0125)"</f>
        <v>(0.0125)</v>
      </c>
      <c r="D23" s="2" t="str">
        <f>"(0.0124)"</f>
        <v>(0.0124)</v>
      </c>
    </row>
    <row r="24" spans="1:4" x14ac:dyDescent="0.25">
      <c r="A24" t="s">
        <v>20</v>
      </c>
      <c r="B24" s="2" t="str">
        <f>""</f>
        <v/>
      </c>
      <c r="C24" s="2" t="str">
        <f>"0.00161*"</f>
        <v>0.00161*</v>
      </c>
      <c r="D24" s="2" t="str">
        <f>"0.00158*"</f>
        <v>0.00158*</v>
      </c>
    </row>
    <row r="25" spans="1:4" x14ac:dyDescent="0.25">
      <c r="A25" t="str">
        <f>""</f>
        <v/>
      </c>
      <c r="B25" s="2" t="str">
        <f>""</f>
        <v/>
      </c>
      <c r="C25" s="2" t="str">
        <f>"(0.000628)"</f>
        <v>(0.000628)</v>
      </c>
      <c r="D25" s="2" t="str">
        <f>"(0.000629)"</f>
        <v>(0.000629)</v>
      </c>
    </row>
    <row r="26" spans="1:4" x14ac:dyDescent="0.25">
      <c r="A26" t="s">
        <v>21</v>
      </c>
      <c r="B26" s="2" t="str">
        <f>""</f>
        <v/>
      </c>
      <c r="C26" s="2" t="str">
        <f>"-0.00383"</f>
        <v>-0.00383</v>
      </c>
      <c r="D26" s="2" t="str">
        <f>"-0.00405"</f>
        <v>-0.00405</v>
      </c>
    </row>
    <row r="27" spans="1:4" x14ac:dyDescent="0.25">
      <c r="A27" t="str">
        <f>""</f>
        <v/>
      </c>
      <c r="B27" s="2" t="str">
        <f>""</f>
        <v/>
      </c>
      <c r="C27" s="2" t="str">
        <f>"(0.00238)"</f>
        <v>(0.00238)</v>
      </c>
      <c r="D27" s="2" t="str">
        <f>"(0.00239)"</f>
        <v>(0.00239)</v>
      </c>
    </row>
    <row r="28" spans="1:4" x14ac:dyDescent="0.25">
      <c r="A28" t="s">
        <v>22</v>
      </c>
      <c r="B28" s="2" t="str">
        <f>""</f>
        <v/>
      </c>
      <c r="C28" s="2" t="str">
        <f>"0.00845"</f>
        <v>0.00845</v>
      </c>
      <c r="D28" s="2" t="str">
        <f>"0.00886"</f>
        <v>0.00886</v>
      </c>
    </row>
    <row r="29" spans="1:4" x14ac:dyDescent="0.25">
      <c r="A29" t="str">
        <f>""</f>
        <v/>
      </c>
      <c r="B29" s="2" t="str">
        <f>""</f>
        <v/>
      </c>
      <c r="C29" s="2" t="str">
        <f>"(0.0129)"</f>
        <v>(0.0129)</v>
      </c>
      <c r="D29" s="2" t="str">
        <f>"(0.0129)"</f>
        <v>(0.0129)</v>
      </c>
    </row>
    <row r="30" spans="1:4" x14ac:dyDescent="0.25">
      <c r="A30" t="s">
        <v>130</v>
      </c>
      <c r="B30" s="2" t="str">
        <f>""</f>
        <v/>
      </c>
      <c r="C30" s="2" t="str">
        <f>""</f>
        <v/>
      </c>
      <c r="D30" s="2" t="str">
        <f>"0.00928"</f>
        <v>0.00928</v>
      </c>
    </row>
    <row r="31" spans="1:4" x14ac:dyDescent="0.25">
      <c r="A31" t="s">
        <v>126</v>
      </c>
      <c r="B31" s="2" t="str">
        <f>""</f>
        <v/>
      </c>
      <c r="C31" s="2" t="str">
        <f>""</f>
        <v/>
      </c>
      <c r="D31" s="2" t="str">
        <f>"(0.0103)"</f>
        <v>(0.0103)</v>
      </c>
    </row>
    <row r="32" spans="1:4" x14ac:dyDescent="0.25">
      <c r="A32" t="s">
        <v>131</v>
      </c>
      <c r="B32" s="2" t="str">
        <f>""</f>
        <v/>
      </c>
      <c r="C32" s="2" t="str">
        <f>""</f>
        <v/>
      </c>
      <c r="D32" s="2" t="str">
        <f>"0.00153"</f>
        <v>0.00153</v>
      </c>
    </row>
    <row r="33" spans="1:4" x14ac:dyDescent="0.25">
      <c r="A33" t="s">
        <v>126</v>
      </c>
      <c r="B33" s="2" t="str">
        <f>""</f>
        <v/>
      </c>
      <c r="C33" s="2" t="str">
        <f>""</f>
        <v/>
      </c>
      <c r="D33" s="2" t="str">
        <f>"(0.00972)"</f>
        <v>(0.00972)</v>
      </c>
    </row>
    <row r="34" spans="1:4" x14ac:dyDescent="0.25">
      <c r="A34" t="s">
        <v>8</v>
      </c>
      <c r="B34" s="2" t="str">
        <f>""</f>
        <v/>
      </c>
      <c r="C34" s="2" t="str">
        <f>""</f>
        <v/>
      </c>
      <c r="D34" s="2" t="str">
        <f>"0.000197"</f>
        <v>0.000197</v>
      </c>
    </row>
    <row r="35" spans="1:4" x14ac:dyDescent="0.25">
      <c r="A35" t="s">
        <v>126</v>
      </c>
      <c r="B35" s="2" t="str">
        <f>""</f>
        <v/>
      </c>
      <c r="C35" s="2" t="str">
        <f>""</f>
        <v/>
      </c>
      <c r="D35" s="2" t="str">
        <f>"(0.0101)"</f>
        <v>(0.0101)</v>
      </c>
    </row>
    <row r="36" spans="1:4" x14ac:dyDescent="0.25">
      <c r="A36" t="s">
        <v>9</v>
      </c>
      <c r="B36" s="2" t="str">
        <f>""</f>
        <v/>
      </c>
      <c r="C36" s="2" t="str">
        <f>""</f>
        <v/>
      </c>
      <c r="D36" s="2" t="str">
        <f>"-0.140**"</f>
        <v>-0.140**</v>
      </c>
    </row>
    <row r="37" spans="1:4" x14ac:dyDescent="0.25">
      <c r="A37" t="str">
        <f>""</f>
        <v/>
      </c>
      <c r="B37" s="2" t="str">
        <f>""</f>
        <v/>
      </c>
      <c r="C37" s="2" t="str">
        <f>""</f>
        <v/>
      </c>
      <c r="D37" s="2" t="str">
        <f>"(0.0465)"</f>
        <v>(0.0465)</v>
      </c>
    </row>
    <row r="38" spans="1:4" x14ac:dyDescent="0.25">
      <c r="A38" t="s">
        <v>10</v>
      </c>
      <c r="B38" s="2" t="str">
        <f>""</f>
        <v/>
      </c>
      <c r="C38" s="2" t="str">
        <f>""</f>
        <v/>
      </c>
      <c r="D38" s="2" t="str">
        <f>"0.0341**"</f>
        <v>0.0341**</v>
      </c>
    </row>
    <row r="39" spans="1:4" x14ac:dyDescent="0.25">
      <c r="A39" t="str">
        <f>""</f>
        <v/>
      </c>
      <c r="B39" s="2" t="str">
        <f>""</f>
        <v/>
      </c>
      <c r="C39" s="2" t="str">
        <f>""</f>
        <v/>
      </c>
      <c r="D39" s="2" t="str">
        <f>"(0.0117)"</f>
        <v>(0.0117)</v>
      </c>
    </row>
    <row r="40" spans="1:4" x14ac:dyDescent="0.25">
      <c r="A40" t="s">
        <v>11</v>
      </c>
      <c r="B40" s="2" t="str">
        <f>""</f>
        <v/>
      </c>
      <c r="C40" s="2" t="str">
        <f>""</f>
        <v/>
      </c>
      <c r="D40" s="2" t="str">
        <f>"-0.0205"</f>
        <v>-0.0205</v>
      </c>
    </row>
    <row r="41" spans="1:4" x14ac:dyDescent="0.25">
      <c r="A41" t="str">
        <f>""</f>
        <v/>
      </c>
      <c r="B41" s="2" t="str">
        <f>""</f>
        <v/>
      </c>
      <c r="C41" s="2" t="str">
        <f>""</f>
        <v/>
      </c>
      <c r="D41" s="2" t="str">
        <f>"(0.0223)"</f>
        <v>(0.0223)</v>
      </c>
    </row>
    <row r="42" spans="1:4" x14ac:dyDescent="0.25">
      <c r="A42" t="s">
        <v>12</v>
      </c>
      <c r="B42" s="2" t="str">
        <f>""</f>
        <v/>
      </c>
      <c r="C42" s="2" t="str">
        <f>""</f>
        <v/>
      </c>
      <c r="D42" s="2" t="str">
        <f>"0.0213"</f>
        <v>0.0213</v>
      </c>
    </row>
    <row r="43" spans="1:4" x14ac:dyDescent="0.25">
      <c r="A43" t="str">
        <f>""</f>
        <v/>
      </c>
      <c r="B43" s="2" t="str">
        <f>""</f>
        <v/>
      </c>
      <c r="C43" s="2" t="str">
        <f>""</f>
        <v/>
      </c>
      <c r="D43" s="2" t="str">
        <f>"(0.0138)"</f>
        <v>(0.0138)</v>
      </c>
    </row>
    <row r="44" spans="1:4" x14ac:dyDescent="0.25">
      <c r="A44" t="s">
        <v>13</v>
      </c>
      <c r="B44" s="2" t="str">
        <f>""</f>
        <v/>
      </c>
      <c r="C44" s="2" t="str">
        <f>""</f>
        <v/>
      </c>
      <c r="D44" s="2" t="str">
        <f>"0.0334"</f>
        <v>0.0334</v>
      </c>
    </row>
    <row r="45" spans="1:4" x14ac:dyDescent="0.25">
      <c r="A45" t="str">
        <f>""</f>
        <v/>
      </c>
      <c r="B45" s="2" t="str">
        <f>""</f>
        <v/>
      </c>
      <c r="C45" s="2" t="str">
        <f>""</f>
        <v/>
      </c>
      <c r="D45" s="2" t="str">
        <f>"(0.0237)"</f>
        <v>(0.0237)</v>
      </c>
    </row>
    <row r="46" spans="1:4" x14ac:dyDescent="0.25">
      <c r="A46" t="s">
        <v>14</v>
      </c>
      <c r="B46" s="2" t="str">
        <f>""</f>
        <v/>
      </c>
      <c r="C46" s="2" t="str">
        <f>""</f>
        <v/>
      </c>
      <c r="D46" s="2" t="str">
        <f>"0.00452"</f>
        <v>0.00452</v>
      </c>
    </row>
    <row r="47" spans="1:4" x14ac:dyDescent="0.25">
      <c r="A47" t="str">
        <f>""</f>
        <v/>
      </c>
      <c r="B47" s="2" t="str">
        <f>""</f>
        <v/>
      </c>
      <c r="C47" s="2" t="str">
        <f>""</f>
        <v/>
      </c>
      <c r="D47" s="2" t="str">
        <f>"(0.0307)"</f>
        <v>(0.0307)</v>
      </c>
    </row>
    <row r="48" spans="1:4" x14ac:dyDescent="0.25">
      <c r="A48" t="s">
        <v>15</v>
      </c>
      <c r="B48" s="2" t="str">
        <f>""</f>
        <v/>
      </c>
      <c r="C48" s="2" t="str">
        <f>""</f>
        <v/>
      </c>
      <c r="D48" s="2" t="str">
        <f>"0.0133"</f>
        <v>0.0133</v>
      </c>
    </row>
    <row r="49" spans="1:4" x14ac:dyDescent="0.25">
      <c r="A49" t="str">
        <f>""</f>
        <v/>
      </c>
      <c r="B49" s="2" t="str">
        <f>""</f>
        <v/>
      </c>
      <c r="C49" s="2" t="str">
        <f>""</f>
        <v/>
      </c>
      <c r="D49" s="2" t="str">
        <f>"(0.0238)"</f>
        <v>(0.0238)</v>
      </c>
    </row>
    <row r="50" spans="1:4" x14ac:dyDescent="0.25">
      <c r="A50" t="s">
        <v>4</v>
      </c>
      <c r="B50" s="2" t="str">
        <f>""</f>
        <v/>
      </c>
      <c r="C50" s="2" t="str">
        <f>""</f>
        <v/>
      </c>
      <c r="D50" s="2" t="str">
        <f>"0.00133"</f>
        <v>0.00133</v>
      </c>
    </row>
    <row r="51" spans="1:4" x14ac:dyDescent="0.25">
      <c r="A51" t="str">
        <f>""</f>
        <v/>
      </c>
      <c r="B51" s="2" t="str">
        <f>""</f>
        <v/>
      </c>
      <c r="C51" s="2" t="str">
        <f>""</f>
        <v/>
      </c>
      <c r="D51" s="2" t="str">
        <f>"(0.00208)"</f>
        <v>(0.00208)</v>
      </c>
    </row>
    <row r="52" spans="1:4" x14ac:dyDescent="0.25">
      <c r="A52" t="s">
        <v>5</v>
      </c>
      <c r="B52" s="2" t="str">
        <f>""</f>
        <v/>
      </c>
      <c r="C52" s="2" t="str">
        <f>""</f>
        <v/>
      </c>
      <c r="D52" s="2" t="str">
        <f>"-0.000910"</f>
        <v>-0.000910</v>
      </c>
    </row>
    <row r="53" spans="1:4" x14ac:dyDescent="0.25">
      <c r="A53" t="str">
        <f>""</f>
        <v/>
      </c>
      <c r="B53" s="2" t="str">
        <f>""</f>
        <v/>
      </c>
      <c r="C53" s="2" t="str">
        <f>""</f>
        <v/>
      </c>
      <c r="D53" s="2" t="str">
        <f>"(0.00577)"</f>
        <v>(0.00577)</v>
      </c>
    </row>
    <row r="54" spans="1:4" x14ac:dyDescent="0.25">
      <c r="A54" t="str">
        <f>"Observations"</f>
        <v>Observations</v>
      </c>
      <c r="B54" s="2" t="str">
        <f>"16624"</f>
        <v>16624</v>
      </c>
      <c r="C54" s="2" t="str">
        <f>"16624"</f>
        <v>16624</v>
      </c>
      <c r="D54" s="2" t="str">
        <f>"16624"</f>
        <v>16624</v>
      </c>
    </row>
  </sheetData>
  <mergeCells count="3">
    <mergeCell ref="A1:J1"/>
    <mergeCell ref="F4:L7"/>
    <mergeCell ref="F9:L11"/>
  </mergeCells>
  <pageMargins left="0.7" right="0.7" top="0.75" bottom="0.75" header="0.3" footer="0.3"/>
  <ignoredErrors>
    <ignoredError sqref="C10:D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Awarded overall</vt:lpstr>
      <vt:lpstr>Discussed</vt:lpstr>
      <vt:lpstr>Awarded given discussed</vt:lpstr>
      <vt:lpstr>Number of applications</vt:lpstr>
      <vt:lpstr>Resubmission</vt:lpstr>
      <vt:lpstr>Resubmission-percentile 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Litovitz, Aviva (NIH/OD) [C]</dc:creator>
  <cp:lastModifiedBy>Rebecca Meseroll (NIH/OD) [C]</cp:lastModifiedBy>
  <dcterms:created xsi:type="dcterms:W3CDTF">2018-07-02T18:15:38Z</dcterms:created>
  <dcterms:modified xsi:type="dcterms:W3CDTF">2018-08-03T17:18:37Z</dcterms:modified>
</cp:coreProperties>
</file>